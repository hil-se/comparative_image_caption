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ni\comparative_image_caption\results\"/>
    </mc:Choice>
  </mc:AlternateContent>
  <xr:revisionPtr revIDLastSave="0" documentId="13_ncr:1_{A15C2A7F-59F8-4510-9F75-430890CE90AF}" xr6:coauthVersionLast="47" xr6:coauthVersionMax="47" xr10:uidLastSave="{00000000-0000-0000-0000-000000000000}"/>
  <bookViews>
    <workbookView xWindow="-108" yWindow="-108" windowWidth="23256" windowHeight="12576" firstSheet="2" activeTab="4" xr2:uid="{D6321BD8-A525-441C-A5AC-E2373B91F963}"/>
  </bookViews>
  <sheets>
    <sheet name="Regression - Task 1" sheetId="1" r:id="rId1"/>
    <sheet name="Inter-Rater (Pearson)" sheetId="4" r:id="rId2"/>
    <sheet name="Inter-Rater(Spearman)" sheetId="6" r:id="rId3"/>
    <sheet name="Comparative - Task 2" sheetId="2" r:id="rId4"/>
    <sheet name="Same_Image -  Task 3 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2" i="3"/>
  <c r="O2" i="2"/>
  <c r="O3" i="2"/>
  <c r="O4" i="2"/>
  <c r="O5" i="2"/>
  <c r="O6" i="2"/>
  <c r="O7" i="2"/>
  <c r="O8" i="2"/>
  <c r="O9" i="2"/>
  <c r="O10" i="2"/>
  <c r="O11" i="2"/>
  <c r="J2" i="4"/>
  <c r="N3" i="3"/>
  <c r="N4" i="3"/>
  <c r="N5" i="3"/>
  <c r="N6" i="3"/>
  <c r="N7" i="3"/>
  <c r="N8" i="3"/>
  <c r="N9" i="3"/>
  <c r="N10" i="3"/>
  <c r="N11" i="3"/>
  <c r="N2" i="3"/>
  <c r="M3" i="3"/>
  <c r="M4" i="3"/>
  <c r="M5" i="3"/>
  <c r="M6" i="3"/>
  <c r="M7" i="3"/>
  <c r="M8" i="3"/>
  <c r="M9" i="3"/>
  <c r="M10" i="3"/>
  <c r="M11" i="3"/>
  <c r="M2" i="3"/>
  <c r="L3" i="3"/>
  <c r="L4" i="3"/>
  <c r="L5" i="3"/>
  <c r="L6" i="3"/>
  <c r="L7" i="3"/>
  <c r="L8" i="3"/>
  <c r="L9" i="3"/>
  <c r="L10" i="3"/>
  <c r="L11" i="3"/>
  <c r="L2" i="3"/>
  <c r="N3" i="2"/>
  <c r="N4" i="2"/>
  <c r="N5" i="2"/>
  <c r="N6" i="2"/>
  <c r="N7" i="2"/>
  <c r="N8" i="2"/>
  <c r="N9" i="2"/>
  <c r="N10" i="2"/>
  <c r="N11" i="2"/>
  <c r="N2" i="2"/>
  <c r="M3" i="2"/>
  <c r="M4" i="2"/>
  <c r="M5" i="2"/>
  <c r="M6" i="2"/>
  <c r="M7" i="2"/>
  <c r="M8" i="2"/>
  <c r="M9" i="2"/>
  <c r="M10" i="2"/>
  <c r="M11" i="2"/>
  <c r="M2" i="2"/>
  <c r="L3" i="2"/>
  <c r="L4" i="2"/>
  <c r="L5" i="2"/>
  <c r="L6" i="2"/>
  <c r="L7" i="2"/>
  <c r="L8" i="2"/>
  <c r="L9" i="2"/>
  <c r="L10" i="2"/>
  <c r="L11" i="2"/>
  <c r="L2" i="2"/>
  <c r="J2" i="6"/>
  <c r="N3" i="1"/>
  <c r="N4" i="1"/>
  <c r="N5" i="1"/>
  <c r="N6" i="1"/>
  <c r="N7" i="1"/>
  <c r="N8" i="1"/>
  <c r="N9" i="1"/>
  <c r="N10" i="1"/>
  <c r="N11" i="1"/>
  <c r="N2" i="1"/>
  <c r="M3" i="1" a="1"/>
  <c r="M3" i="1" s="1"/>
  <c r="M4" i="1" a="1"/>
  <c r="M4" i="1" s="1"/>
  <c r="M5" i="1" a="1"/>
  <c r="M5" i="1" s="1"/>
  <c r="M6" i="1" a="1"/>
  <c r="M6" i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2" i="1" a="1"/>
  <c r="M2" i="1" s="1"/>
  <c r="L3" i="1"/>
  <c r="L4" i="1"/>
  <c r="L5" i="1"/>
  <c r="L6" i="1"/>
  <c r="L7" i="1"/>
  <c r="L8" i="1"/>
  <c r="L9" i="1"/>
  <c r="L10" i="1"/>
  <c r="L11" i="1"/>
  <c r="L2" i="1"/>
  <c r="P2" i="1"/>
  <c r="P3" i="1"/>
  <c r="P4" i="1"/>
  <c r="P5" i="1"/>
  <c r="P6" i="1"/>
  <c r="P7" i="1"/>
  <c r="P8" i="1"/>
  <c r="P9" i="1"/>
  <c r="P10" i="1"/>
  <c r="P11" i="1"/>
  <c r="K3" i="1"/>
  <c r="O3" i="1" s="1"/>
  <c r="K4" i="1"/>
  <c r="O4" i="1" s="1"/>
  <c r="K5" i="1"/>
  <c r="O5" i="1" s="1"/>
  <c r="K6" i="1"/>
  <c r="O6" i="1" s="1"/>
  <c r="K7" i="1"/>
  <c r="O7" i="1" s="1"/>
  <c r="K8" i="1"/>
  <c r="O8" i="1" s="1"/>
  <c r="K9" i="1"/>
  <c r="O9" i="1" s="1"/>
  <c r="K10" i="1"/>
  <c r="O10" i="1" s="1"/>
  <c r="K11" i="1"/>
  <c r="O11" i="1" s="1"/>
  <c r="K2" i="1"/>
  <c r="O2" i="1" s="1"/>
  <c r="M18" i="3" l="1"/>
  <c r="L18" i="3"/>
  <c r="L18" i="2"/>
  <c r="M18" i="2"/>
  <c r="M12" i="1"/>
  <c r="Q10" i="1"/>
  <c r="Q11" i="1"/>
  <c r="L12" i="1"/>
  <c r="Q3" i="1"/>
  <c r="Q9" i="1"/>
  <c r="N12" i="1"/>
  <c r="Q6" i="1"/>
  <c r="Q5" i="1"/>
  <c r="Q7" i="1"/>
  <c r="Q2" i="1"/>
  <c r="Q4" i="1"/>
  <c r="Q8" i="1"/>
  <c r="T12" i="1"/>
  <c r="R12" i="1"/>
  <c r="N18" i="2" l="1"/>
  <c r="N18" i="3"/>
  <c r="H18" i="3"/>
  <c r="J18" i="2"/>
  <c r="O18" i="2" s="1"/>
  <c r="S12" i="1"/>
  <c r="O1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<sst xmlns="http://schemas.openxmlformats.org/spreadsheetml/2006/main" count="286" uniqueCount="49">
  <si>
    <t>Task 1</t>
  </si>
  <si>
    <t>Ground_Truth</t>
  </si>
  <si>
    <t>P1</t>
  </si>
  <si>
    <t>P2</t>
  </si>
  <si>
    <t>P5</t>
  </si>
  <si>
    <t>P6</t>
  </si>
  <si>
    <t>P7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</si>
  <si>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</si>
  <si>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</si>
  <si>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</si>
  <si>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</si>
  <si>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</si>
  <si>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</si>
  <si>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</si>
  <si>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</si>
  <si>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</si>
  <si>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</si>
  <si>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AVG_P_Rating</t>
  </si>
  <si>
    <t>Task 2</t>
  </si>
  <si>
    <t>ImageA_CaptionA_GT</t>
  </si>
  <si>
    <t>ImageB_CaptionB_GT</t>
  </si>
  <si>
    <t>A</t>
  </si>
  <si>
    <t>B</t>
  </si>
  <si>
    <t>ImageA_CaptionB_GT</t>
  </si>
  <si>
    <t>All_Same</t>
  </si>
  <si>
    <t>Consistency</t>
  </si>
  <si>
    <t>Overall_mean_Pearson_Correlation</t>
  </si>
  <si>
    <t>Overall_mean_Spearman_Correlation</t>
  </si>
  <si>
    <t>Abs_Error(GT-AVG)</t>
  </si>
  <si>
    <t>Rank_GT</t>
  </si>
  <si>
    <t>Rank_AVG_P</t>
  </si>
  <si>
    <t>Spearman correlation</t>
  </si>
  <si>
    <t>Pearson correlation</t>
  </si>
  <si>
    <t>MAE</t>
  </si>
  <si>
    <t>Majority_Agreement</t>
  </si>
  <si>
    <t>Task 3</t>
  </si>
  <si>
    <t>Count_A</t>
  </si>
  <si>
    <t>Count_B</t>
  </si>
  <si>
    <t>P_i</t>
  </si>
  <si>
    <t>Observed agreement (Pₒ)</t>
  </si>
  <si>
    <t>Proportion A (pA)</t>
  </si>
  <si>
    <t>Proportion B (pB)</t>
  </si>
  <si>
    <t>Expected Agreement (Pₑ)</t>
  </si>
  <si>
    <t>Kappa (κ)</t>
  </si>
  <si>
    <t>P3</t>
  </si>
  <si>
    <t>P4</t>
  </si>
  <si>
    <t>P8</t>
  </si>
  <si>
    <t>Rater</t>
  </si>
  <si>
    <t>GT_choice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</si>
</sst>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4A2F-5696-4BC6-80B6-FD2C6A94C8FD}">
  <dimension ref="A1:T16"/>
  <sheetViews>
    <sheetView workbookViewId="0">
      <selection activeCell="S12" sqref="S12"/>
    </sheetView>
  </sheetViews>
  <sheetFormatPr defaultRowHeight="14.4" x14ac:dyDescent="0.3"/>
  <cols>
    <col min="2" max="2" width="15.44140625" customWidth="1"/>
    <col min="19" max="19" width="11.6640625" customWidth="1"/>
  </cols>
  <sheetData>
    <row r="1" spans="1:20" ht="30" x14ac:dyDescent="0.3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45</v>
      </c>
      <c r="G1" t="s">
        <v>4</v>
      </c>
      <c r="H1" t="s">
        <v>5</v>
      </c>
      <c r="I1" t="s">
        <v>6</v>
      </c>
      <c r="J1" t="s">
        <v>46</v>
      </c>
      <c r="K1" t="s">
        <v>17</v>
      </c>
      <c r="L1" t="s">
        <v>24</v>
      </c>
      <c r="M1" t="s">
        <v>34</v>
      </c>
      <c r="N1" t="s">
        <v>25</v>
      </c>
      <c r="O1" t="s">
        <v>28</v>
      </c>
      <c r="P1" s="4" t="s">
        <v>29</v>
      </c>
      <c r="Q1" s="4" t="s">
        <v>30</v>
      </c>
    </row>
    <row r="2" spans="1:20" x14ac:dyDescent="0.3">
      <c r="A2" t="s">
        <v>7</v>
      </c>
      <c r="B2">
        <v>2</v>
      </c>
      <c r="C2">
        <v>3</v>
      </c>
      <c r="D2">
        <v>3</v>
      </c>
      <c r="E2">
        <v>4</v>
      </c>
      <c r="F2">
        <v>1</v>
      </c>
      <c r="G2">
        <v>2</v>
      </c>
      <c r="H2">
        <v>2</v>
      </c>
      <c r="I2">
        <v>1</v>
      </c>
      <c r="J2">
        <v>1</v>
      </c>
      <c r="K2">
        <f t="shared" ref="K2:K11" si="0" xml:space="preserve"> ROUND(AVERAGE(C2:I2),0)</f>
        <v>2</v>
      </c>
      <c r="L2" t="str">
        <f>IF(MAX(C2:J2)=MIN(C2:J2),"All Same","Different")</f>
        <v>Different</v>
      </c>
      <c r="M2" t="str" cm="1">
        <f t="array" ref="M2">IF(MAX(COUNTIF($C2:$J2,$C2:$J2))&gt;=3,"Majority Same","Different")</f>
        <v>Majority Same</v>
      </c>
      <c r="N2">
        <f>_xlfn.STDEV.S(C2:J2)</f>
        <v>1.1259916264596033</v>
      </c>
      <c r="O2">
        <f>ABS(B2 - K2)</f>
        <v>0</v>
      </c>
      <c r="P2" s="1">
        <f>_xlfn.RANK.AVG(B2,$B$2:$B$11,0)</f>
        <v>7.5</v>
      </c>
      <c r="Q2" s="1">
        <f>_xlfn.RANK.AVG(K2,$K$2:$K$11,0)</f>
        <v>5.5</v>
      </c>
    </row>
    <row r="3" spans="1:20" x14ac:dyDescent="0.3">
      <c r="A3" t="s">
        <v>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f t="shared" si="0"/>
        <v>1</v>
      </c>
      <c r="L3" t="str">
        <f t="shared" ref="L3:L11" si="1">IF(MAX(C3:J3)=MIN(C3:J3),"All Same","Different")</f>
        <v>All Same</v>
      </c>
      <c r="M3" t="str" cm="1">
        <f t="array" ref="M3">IF(MAX(COUNTIF($C3:$J3,$C3:$J3))&gt;=3,"Majority Same","Different")</f>
        <v>Majority Same</v>
      </c>
      <c r="N3">
        <f t="shared" ref="N3:N11" si="2">_xlfn.STDEV.S(C3:J3)</f>
        <v>0</v>
      </c>
      <c r="O3">
        <f t="shared" ref="O3:O11" si="3">ABS(B3 - K3)</f>
        <v>0</v>
      </c>
      <c r="P3" s="1">
        <f t="shared" ref="P3:P11" si="4">_xlfn.RANK.AVG(B3,$B$2:$B$11,0)</f>
        <v>9.5</v>
      </c>
      <c r="Q3" s="1">
        <f t="shared" ref="Q3:Q11" si="5">_xlfn.RANK.AVG(K3,$K$2:$K$11,0)</f>
        <v>9</v>
      </c>
    </row>
    <row r="4" spans="1:20" x14ac:dyDescent="0.3">
      <c r="A4" t="s">
        <v>9</v>
      </c>
      <c r="B4">
        <v>2</v>
      </c>
      <c r="C4" s="1">
        <v>2</v>
      </c>
      <c r="D4">
        <v>2</v>
      </c>
      <c r="E4">
        <v>1</v>
      </c>
      <c r="F4">
        <v>5</v>
      </c>
      <c r="G4">
        <v>1</v>
      </c>
      <c r="H4">
        <v>2</v>
      </c>
      <c r="I4">
        <v>1</v>
      </c>
      <c r="J4">
        <v>1</v>
      </c>
      <c r="K4">
        <f t="shared" si="0"/>
        <v>2</v>
      </c>
      <c r="L4" t="str">
        <f t="shared" si="1"/>
        <v>Different</v>
      </c>
      <c r="M4" t="str" cm="1">
        <f t="array" ref="M4">IF(MAX(COUNTIF($C4:$J4,$C4:$J4))&gt;=3,"Majority Same","Different")</f>
        <v>Majority Same</v>
      </c>
      <c r="N4">
        <f t="shared" si="2"/>
        <v>1.3562026818605375</v>
      </c>
      <c r="O4">
        <f t="shared" si="3"/>
        <v>0</v>
      </c>
      <c r="P4" s="1">
        <f t="shared" si="4"/>
        <v>7.5</v>
      </c>
      <c r="Q4" s="1">
        <f t="shared" si="5"/>
        <v>5.5</v>
      </c>
    </row>
    <row r="5" spans="1:20" x14ac:dyDescent="0.3">
      <c r="A5" t="s">
        <v>10</v>
      </c>
      <c r="B5">
        <v>5</v>
      </c>
      <c r="C5" s="1">
        <v>5</v>
      </c>
      <c r="D5">
        <v>5</v>
      </c>
      <c r="E5">
        <v>3</v>
      </c>
      <c r="F5">
        <v>5</v>
      </c>
      <c r="G5">
        <v>5</v>
      </c>
      <c r="H5">
        <v>4</v>
      </c>
      <c r="I5">
        <v>2</v>
      </c>
      <c r="J5">
        <v>5</v>
      </c>
      <c r="K5">
        <f t="shared" si="0"/>
        <v>4</v>
      </c>
      <c r="L5" t="str">
        <f t="shared" si="1"/>
        <v>Different</v>
      </c>
      <c r="M5" t="str" cm="1">
        <f t="array" ref="M5">IF(MAX(COUNTIF($C5:$J5,$C5:$J5))&gt;=3,"Majority Same","Different")</f>
        <v>Majority Same</v>
      </c>
      <c r="N5">
        <f t="shared" si="2"/>
        <v>1.1649647450214351</v>
      </c>
      <c r="O5">
        <f t="shared" si="3"/>
        <v>1</v>
      </c>
      <c r="P5" s="1">
        <f t="shared" si="4"/>
        <v>1.5</v>
      </c>
      <c r="Q5" s="1">
        <f t="shared" si="5"/>
        <v>2</v>
      </c>
    </row>
    <row r="6" spans="1:20" x14ac:dyDescent="0.3">
      <c r="A6" t="s">
        <v>11</v>
      </c>
      <c r="B6">
        <v>3</v>
      </c>
      <c r="C6" s="1">
        <v>3</v>
      </c>
      <c r="D6">
        <v>3</v>
      </c>
      <c r="E6">
        <v>2</v>
      </c>
      <c r="F6">
        <v>2</v>
      </c>
      <c r="G6">
        <v>2</v>
      </c>
      <c r="H6">
        <v>3</v>
      </c>
      <c r="I6">
        <v>3</v>
      </c>
      <c r="J6">
        <v>1</v>
      </c>
      <c r="K6">
        <f t="shared" si="0"/>
        <v>3</v>
      </c>
      <c r="L6" t="str">
        <f t="shared" si="1"/>
        <v>Different</v>
      </c>
      <c r="M6" t="str" cm="1">
        <f t="array" ref="M6">IF(MAX(COUNTIF($C6:$J6,$C6:$J6))&gt;=3,"Majority Same","Different")</f>
        <v>Majority Same</v>
      </c>
      <c r="N6">
        <f t="shared" si="2"/>
        <v>0.74402380914284494</v>
      </c>
      <c r="O6">
        <f t="shared" si="3"/>
        <v>0</v>
      </c>
      <c r="P6" s="1">
        <f t="shared" si="4"/>
        <v>4.5</v>
      </c>
      <c r="Q6" s="1">
        <f t="shared" si="5"/>
        <v>3</v>
      </c>
    </row>
    <row r="7" spans="1:20" x14ac:dyDescent="0.3">
      <c r="A7" t="s">
        <v>12</v>
      </c>
      <c r="B7">
        <v>3</v>
      </c>
      <c r="C7" s="1">
        <v>2</v>
      </c>
      <c r="D7">
        <v>1</v>
      </c>
      <c r="E7">
        <v>2</v>
      </c>
      <c r="F7">
        <v>1</v>
      </c>
      <c r="G7">
        <v>1</v>
      </c>
      <c r="H7">
        <v>2</v>
      </c>
      <c r="I7">
        <v>5</v>
      </c>
      <c r="J7">
        <v>5</v>
      </c>
      <c r="K7">
        <f t="shared" si="0"/>
        <v>2</v>
      </c>
      <c r="L7" t="str">
        <f t="shared" si="1"/>
        <v>Different</v>
      </c>
      <c r="M7" t="str" cm="1">
        <f t="array" ref="M7">IF(MAX(COUNTIF($C7:$J7,$C7:$J7))&gt;=3,"Majority Same","Different")</f>
        <v>Majority Same</v>
      </c>
      <c r="N7">
        <f t="shared" si="2"/>
        <v>1.685018016012207</v>
      </c>
      <c r="O7">
        <f t="shared" si="3"/>
        <v>1</v>
      </c>
      <c r="P7" s="1">
        <f t="shared" si="4"/>
        <v>4.5</v>
      </c>
      <c r="Q7" s="1">
        <f t="shared" si="5"/>
        <v>5.5</v>
      </c>
    </row>
    <row r="8" spans="1:20" x14ac:dyDescent="0.3">
      <c r="A8" t="s">
        <v>13</v>
      </c>
      <c r="B8">
        <v>3</v>
      </c>
      <c r="C8" s="1">
        <v>1</v>
      </c>
      <c r="D8">
        <v>1</v>
      </c>
      <c r="E8">
        <v>2</v>
      </c>
      <c r="F8">
        <v>1</v>
      </c>
      <c r="G8">
        <v>2</v>
      </c>
      <c r="H8">
        <v>1</v>
      </c>
      <c r="I8">
        <v>1</v>
      </c>
      <c r="J8">
        <v>1</v>
      </c>
      <c r="K8">
        <f t="shared" si="0"/>
        <v>1</v>
      </c>
      <c r="L8" t="str">
        <f t="shared" si="1"/>
        <v>Different</v>
      </c>
      <c r="M8" t="str" cm="1">
        <f t="array" ref="M8">IF(MAX(COUNTIF($C8:$J8,$C8:$J8))&gt;=3,"Majority Same","Different")</f>
        <v>Majority Same</v>
      </c>
      <c r="N8">
        <f t="shared" si="2"/>
        <v>0.46291004988627571</v>
      </c>
      <c r="O8">
        <f t="shared" si="3"/>
        <v>2</v>
      </c>
      <c r="P8" s="1">
        <f t="shared" si="4"/>
        <v>4.5</v>
      </c>
      <c r="Q8" s="1">
        <f t="shared" si="5"/>
        <v>9</v>
      </c>
    </row>
    <row r="9" spans="1:20" x14ac:dyDescent="0.3">
      <c r="A9" t="s">
        <v>14</v>
      </c>
      <c r="B9">
        <v>3</v>
      </c>
      <c r="C9" s="1">
        <v>3</v>
      </c>
      <c r="D9">
        <v>2</v>
      </c>
      <c r="E9">
        <v>3</v>
      </c>
      <c r="F9">
        <v>3</v>
      </c>
      <c r="G9">
        <v>2</v>
      </c>
      <c r="H9">
        <v>1</v>
      </c>
      <c r="I9">
        <v>1</v>
      </c>
      <c r="J9">
        <v>1</v>
      </c>
      <c r="K9">
        <f t="shared" si="0"/>
        <v>2</v>
      </c>
      <c r="L9" t="str">
        <f t="shared" si="1"/>
        <v>Different</v>
      </c>
      <c r="M9" t="str" cm="1">
        <f t="array" ref="M9">IF(MAX(COUNTIF($C9:$J9,$C9:$J9))&gt;=3,"Majority Same","Different")</f>
        <v>Majority Same</v>
      </c>
      <c r="N9">
        <f t="shared" si="2"/>
        <v>0.92582009977255142</v>
      </c>
      <c r="O9">
        <f t="shared" si="3"/>
        <v>1</v>
      </c>
      <c r="P9" s="1">
        <f t="shared" si="4"/>
        <v>4.5</v>
      </c>
      <c r="Q9" s="1">
        <f t="shared" si="5"/>
        <v>5.5</v>
      </c>
    </row>
    <row r="10" spans="1:20" ht="15" thickBot="1" x14ac:dyDescent="0.35">
      <c r="A10" t="s">
        <v>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f t="shared" si="0"/>
        <v>1</v>
      </c>
      <c r="L10" t="str">
        <f t="shared" si="1"/>
        <v>All Same</v>
      </c>
      <c r="M10" t="str" cm="1">
        <f t="array" ref="M10">IF(MAX(COUNTIF($C10:$J10,$C10:$J10))&gt;=3,"Majority Same","Different")</f>
        <v>Majority Same</v>
      </c>
      <c r="N10">
        <f t="shared" si="2"/>
        <v>0</v>
      </c>
      <c r="O10">
        <f t="shared" si="3"/>
        <v>0</v>
      </c>
      <c r="P10" s="1">
        <f t="shared" si="4"/>
        <v>9.5</v>
      </c>
      <c r="Q10" s="1">
        <f t="shared" si="5"/>
        <v>9</v>
      </c>
    </row>
    <row r="11" spans="1:20" x14ac:dyDescent="0.3">
      <c r="A11" t="s">
        <v>16</v>
      </c>
      <c r="B11">
        <v>5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  <c r="J11" s="1">
        <v>5</v>
      </c>
      <c r="K11">
        <f t="shared" si="0"/>
        <v>5</v>
      </c>
      <c r="L11" t="str">
        <f t="shared" si="1"/>
        <v>All Same</v>
      </c>
      <c r="M11" t="str" cm="1">
        <f t="array" ref="M11">IF(MAX(COUNTIF($C11:$J11,$C11:$J11))&gt;=3,"Majority Same","Different")</f>
        <v>Majority Same</v>
      </c>
      <c r="N11">
        <f t="shared" si="2"/>
        <v>0</v>
      </c>
      <c r="O11">
        <f t="shared" si="3"/>
        <v>0</v>
      </c>
      <c r="P11" s="1">
        <f t="shared" si="4"/>
        <v>1.5</v>
      </c>
      <c r="Q11" s="1">
        <f t="shared" si="5"/>
        <v>1</v>
      </c>
      <c r="R11" s="7" t="s">
        <v>33</v>
      </c>
      <c r="S11" s="8" t="s">
        <v>31</v>
      </c>
      <c r="T11" s="9" t="s">
        <v>32</v>
      </c>
    </row>
    <row r="12" spans="1:20" ht="15" thickBot="1" x14ac:dyDescent="0.35">
      <c r="L12">
        <f>COUNTIF(L2:L11,"All Same")/COUNTA(A2:A11)</f>
        <v>0.3</v>
      </c>
      <c r="M12">
        <f>COUNTIF($M$2:$M$11,"Majority Same")/COUNTA($A$2:$A$11)</f>
        <v>1</v>
      </c>
      <c r="N12">
        <f>AVERAGE(N2:N11)</f>
        <v>0.74649310281554548</v>
      </c>
      <c r="R12" s="10">
        <f>COUNTIF(L2:L11,"All Same")/COUNTA(A2:A11)</f>
        <v>0.3</v>
      </c>
      <c r="S12" s="11">
        <f>CORREL(P2:P11,Q2:Q11)</f>
        <v>0.77888212966185566</v>
      </c>
      <c r="T12" s="12">
        <f>CORREL(B2:B11,K2:K11)</f>
        <v>0.86732843315220731</v>
      </c>
    </row>
    <row r="16" spans="1:20" x14ac:dyDescent="0.3">
      <c r="I16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C4C8-047F-442C-86A8-624F63CB5AEB}">
  <dimension ref="A1:J9"/>
  <sheetViews>
    <sheetView workbookViewId="0">
      <selection activeCell="L8" sqref="L8"/>
    </sheetView>
  </sheetViews>
  <sheetFormatPr defaultRowHeight="14.4" x14ac:dyDescent="0.3"/>
  <cols>
    <col min="8" max="9" width="10.44140625" customWidth="1"/>
    <col min="10" max="10" width="14.44140625" customWidth="1"/>
  </cols>
  <sheetData>
    <row r="1" spans="1:10" ht="43.2" x14ac:dyDescent="0.3">
      <c r="A1" t="s">
        <v>47</v>
      </c>
      <c r="B1" s="1" t="s">
        <v>2</v>
      </c>
      <c r="C1" s="1" t="s">
        <v>3</v>
      </c>
      <c r="D1" s="1" t="s">
        <v>44</v>
      </c>
      <c r="E1" s="1" t="s">
        <v>45</v>
      </c>
      <c r="F1" s="1" t="s">
        <v>4</v>
      </c>
      <c r="G1" s="1" t="s">
        <v>5</v>
      </c>
      <c r="H1" s="1" t="s">
        <v>6</v>
      </c>
      <c r="I1" s="1" t="s">
        <v>46</v>
      </c>
      <c r="J1" s="1" t="s">
        <v>26</v>
      </c>
    </row>
    <row r="2" spans="1:10" x14ac:dyDescent="0.3">
      <c r="A2" s="1" t="s">
        <v>2</v>
      </c>
      <c r="B2">
        <v>1</v>
      </c>
      <c r="C2">
        <v>0.96367000000000003</v>
      </c>
      <c r="D2">
        <v>0.79820800000000003</v>
      </c>
      <c r="E2">
        <v>0.72161799999999998</v>
      </c>
      <c r="F2">
        <v>0.89560399999999996</v>
      </c>
      <c r="G2">
        <v>0.88662099999999999</v>
      </c>
      <c r="H2">
        <v>0.46144400000000002</v>
      </c>
      <c r="I2">
        <v>0.64168899999999995</v>
      </c>
      <c r="J2" s="13">
        <f>AVERAGE(C2:H2, D3:H3, E4:H4, F5:H5, G6:H6, H7)</f>
        <v>0.66876109523809535</v>
      </c>
    </row>
    <row r="3" spans="1:10" x14ac:dyDescent="0.3">
      <c r="A3" s="1" t="s">
        <v>3</v>
      </c>
      <c r="B3">
        <v>0.96367000000000003</v>
      </c>
      <c r="C3">
        <v>1</v>
      </c>
      <c r="D3">
        <v>0.751305</v>
      </c>
      <c r="E3">
        <v>0.726908</v>
      </c>
      <c r="F3">
        <v>0.91833399999999998</v>
      </c>
      <c r="G3">
        <v>0.91662399999999999</v>
      </c>
      <c r="H3">
        <v>0.364145</v>
      </c>
      <c r="I3">
        <v>0.55405099999999996</v>
      </c>
      <c r="J3" s="13"/>
    </row>
    <row r="4" spans="1:10" x14ac:dyDescent="0.3">
      <c r="A4" s="1" t="s">
        <v>44</v>
      </c>
      <c r="B4">
        <v>0.79820800000000003</v>
      </c>
      <c r="C4">
        <v>0.751305</v>
      </c>
      <c r="D4">
        <v>1</v>
      </c>
      <c r="E4">
        <v>0.35769899999999999</v>
      </c>
      <c r="F4">
        <v>0.75446599999999997</v>
      </c>
      <c r="G4">
        <v>0.65923399999999999</v>
      </c>
      <c r="H4">
        <v>0.42557600000000001</v>
      </c>
      <c r="I4">
        <v>0.47711900000000002</v>
      </c>
      <c r="J4" s="13"/>
    </row>
    <row r="5" spans="1:10" x14ac:dyDescent="0.3">
      <c r="A5" s="1" t="s">
        <v>45</v>
      </c>
      <c r="B5">
        <v>0.72161799999999998</v>
      </c>
      <c r="C5">
        <v>0.726908</v>
      </c>
      <c r="D5">
        <v>0.35769899999999999</v>
      </c>
      <c r="E5">
        <v>1</v>
      </c>
      <c r="F5">
        <v>0.66232599999999997</v>
      </c>
      <c r="G5">
        <v>0.69057999999999997</v>
      </c>
      <c r="H5">
        <v>0.19957800000000001</v>
      </c>
      <c r="I5">
        <v>0.43732900000000002</v>
      </c>
      <c r="J5" s="13"/>
    </row>
    <row r="6" spans="1:10" x14ac:dyDescent="0.3">
      <c r="A6" s="1" t="s">
        <v>4</v>
      </c>
      <c r="B6">
        <v>0.89560399999999996</v>
      </c>
      <c r="C6">
        <v>0.91833399999999998</v>
      </c>
      <c r="D6">
        <v>0.75446599999999997</v>
      </c>
      <c r="E6">
        <v>0.66232599999999997</v>
      </c>
      <c r="F6">
        <v>1</v>
      </c>
      <c r="G6">
        <v>0.851383</v>
      </c>
      <c r="H6">
        <v>0.37945099999999998</v>
      </c>
      <c r="I6">
        <v>0.65330500000000002</v>
      </c>
      <c r="J6" s="13"/>
    </row>
    <row r="7" spans="1:10" x14ac:dyDescent="0.3">
      <c r="A7" s="1" t="s">
        <v>5</v>
      </c>
      <c r="B7">
        <v>0.88662099999999999</v>
      </c>
      <c r="C7">
        <v>0.91662399999999999</v>
      </c>
      <c r="D7">
        <v>0.65923399999999999</v>
      </c>
      <c r="E7">
        <v>0.69057999999999997</v>
      </c>
      <c r="F7">
        <v>0.851383</v>
      </c>
      <c r="G7">
        <v>1</v>
      </c>
      <c r="H7">
        <v>0.65920900000000004</v>
      </c>
      <c r="I7">
        <v>0.72374700000000003</v>
      </c>
      <c r="J7" s="13"/>
    </row>
    <row r="8" spans="1:10" x14ac:dyDescent="0.3">
      <c r="A8" s="1" t="s">
        <v>6</v>
      </c>
      <c r="B8">
        <v>0.46144400000000002</v>
      </c>
      <c r="C8">
        <v>0.364145</v>
      </c>
      <c r="D8">
        <v>0.42557600000000001</v>
      </c>
      <c r="E8">
        <v>0.19957800000000001</v>
      </c>
      <c r="F8">
        <v>0.37945099999999998</v>
      </c>
      <c r="G8">
        <v>0.65920900000000004</v>
      </c>
      <c r="H8">
        <v>1</v>
      </c>
      <c r="I8">
        <v>0.78825299999999998</v>
      </c>
      <c r="J8" s="13"/>
    </row>
    <row r="9" spans="1:10" x14ac:dyDescent="0.3">
      <c r="A9" s="1" t="s">
        <v>46</v>
      </c>
      <c r="B9">
        <v>0.64168899999999995</v>
      </c>
      <c r="C9">
        <v>0.55405099999999996</v>
      </c>
      <c r="D9">
        <v>0.47711900000000002</v>
      </c>
      <c r="E9">
        <v>0.43732900000000002</v>
      </c>
      <c r="F9">
        <v>0.65330500000000002</v>
      </c>
      <c r="G9">
        <v>0.72374700000000003</v>
      </c>
      <c r="H9">
        <v>0.78825299999999998</v>
      </c>
      <c r="I9">
        <v>1</v>
      </c>
      <c r="J9" s="13"/>
    </row>
  </sheetData>
  <mergeCells count="1">
    <mergeCell ref="J2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1F2B-6FE7-4BC8-BEB8-F8F3A1656A9D}">
  <dimension ref="A1:J9"/>
  <sheetViews>
    <sheetView workbookViewId="0">
      <selection activeCell="C2" sqref="C2"/>
    </sheetView>
  </sheetViews>
  <sheetFormatPr defaultRowHeight="14.4" x14ac:dyDescent="0.3"/>
  <cols>
    <col min="10" max="10" width="20.33203125" customWidth="1"/>
  </cols>
  <sheetData>
    <row r="1" spans="1:10" ht="28.8" x14ac:dyDescent="0.3">
      <c r="A1" s="2" t="s">
        <v>47</v>
      </c>
      <c r="B1" s="2" t="s">
        <v>2</v>
      </c>
      <c r="C1" s="2" t="s">
        <v>3</v>
      </c>
      <c r="D1" s="2" t="s">
        <v>44</v>
      </c>
      <c r="E1" s="2" t="s">
        <v>45</v>
      </c>
      <c r="F1" s="2" t="s">
        <v>4</v>
      </c>
      <c r="G1" s="2" t="s">
        <v>5</v>
      </c>
      <c r="H1" s="2" t="s">
        <v>6</v>
      </c>
      <c r="I1" s="2" t="s">
        <v>46</v>
      </c>
      <c r="J1" s="2" t="s">
        <v>27</v>
      </c>
    </row>
    <row r="2" spans="1:10" ht="15" x14ac:dyDescent="0.3">
      <c r="A2" s="3" t="s">
        <v>2</v>
      </c>
      <c r="B2" s="1">
        <v>1</v>
      </c>
      <c r="C2">
        <v>0.94467100000000004</v>
      </c>
      <c r="D2">
        <v>0.81994</v>
      </c>
      <c r="E2">
        <v>0.71025400000000005</v>
      </c>
      <c r="F2" s="4">
        <v>0.80321900000000002</v>
      </c>
      <c r="G2" s="4">
        <v>0.81706299999999998</v>
      </c>
      <c r="H2" s="4">
        <v>0.54807600000000001</v>
      </c>
      <c r="I2" s="4">
        <v>0.54870300000000005</v>
      </c>
      <c r="J2" s="14">
        <f>AVERAGE(
    C2:I2,
    D3:I3,
    E4:I4,
    F5:I5,
    G6:I6,
    H7:I7,
    I8:I8)</f>
        <v>0.61322189285714279</v>
      </c>
    </row>
    <row r="3" spans="1:10" ht="15" x14ac:dyDescent="0.3">
      <c r="A3" s="3" t="s">
        <v>3</v>
      </c>
      <c r="B3" s="4">
        <v>0.94467100000000004</v>
      </c>
      <c r="C3" s="1">
        <v>1</v>
      </c>
      <c r="D3" s="1">
        <v>0.72733400000000004</v>
      </c>
      <c r="E3" s="1">
        <v>0.73772099999999996</v>
      </c>
      <c r="F3" s="4">
        <v>0.81110700000000002</v>
      </c>
      <c r="G3" s="4">
        <v>0.83828800000000003</v>
      </c>
      <c r="H3" s="4">
        <v>0.41420099999999999</v>
      </c>
      <c r="I3" s="4">
        <v>0.39578000000000002</v>
      </c>
      <c r="J3" s="14"/>
    </row>
    <row r="4" spans="1:10" ht="15" x14ac:dyDescent="0.3">
      <c r="A4" s="3" t="s">
        <v>44</v>
      </c>
      <c r="B4" s="4">
        <v>0.81994</v>
      </c>
      <c r="C4" s="4">
        <v>0.72733400000000004</v>
      </c>
      <c r="D4" s="4">
        <v>1</v>
      </c>
      <c r="E4" s="4">
        <v>0.33038800000000001</v>
      </c>
      <c r="F4" s="1">
        <v>0.84734500000000001</v>
      </c>
      <c r="G4" s="4">
        <v>0.550562</v>
      </c>
      <c r="H4" s="4">
        <v>0.40533200000000003</v>
      </c>
      <c r="I4" s="4">
        <v>0.46880699999999997</v>
      </c>
      <c r="J4" s="14"/>
    </row>
    <row r="5" spans="1:10" ht="15" x14ac:dyDescent="0.3">
      <c r="A5" s="3" t="s">
        <v>45</v>
      </c>
      <c r="B5" s="4">
        <v>0.71025400000000005</v>
      </c>
      <c r="C5" s="4">
        <v>0.73772099999999996</v>
      </c>
      <c r="D5" s="4">
        <v>0.33038800000000001</v>
      </c>
      <c r="E5" s="4">
        <v>1</v>
      </c>
      <c r="F5" s="4">
        <v>0.51932699999999998</v>
      </c>
      <c r="G5" s="1">
        <v>0.63736000000000004</v>
      </c>
      <c r="H5" s="4">
        <v>0.304004</v>
      </c>
      <c r="I5" s="4">
        <v>0.36983500000000002</v>
      </c>
      <c r="J5" s="14"/>
    </row>
    <row r="6" spans="1:10" ht="15" x14ac:dyDescent="0.3">
      <c r="A6" s="3" t="s">
        <v>4</v>
      </c>
      <c r="B6" s="4">
        <v>0.80321900000000002</v>
      </c>
      <c r="C6" s="4">
        <v>0.81110700000000002</v>
      </c>
      <c r="D6" s="4">
        <v>0.84734500000000001</v>
      </c>
      <c r="E6" s="4">
        <v>0.51932699999999998</v>
      </c>
      <c r="F6" s="4">
        <v>1</v>
      </c>
      <c r="G6" s="4">
        <v>0.59677800000000003</v>
      </c>
      <c r="H6" s="1">
        <v>0.35951699999999998</v>
      </c>
      <c r="I6" s="1">
        <v>0.40662500000000001</v>
      </c>
      <c r="J6" s="14"/>
    </row>
    <row r="7" spans="1:10" x14ac:dyDescent="0.3">
      <c r="A7" s="3" t="s">
        <v>5</v>
      </c>
      <c r="B7">
        <v>0.81706299999999998</v>
      </c>
      <c r="C7">
        <v>0.83828800000000003</v>
      </c>
      <c r="D7">
        <v>0.550562</v>
      </c>
      <c r="E7">
        <v>0.63736000000000004</v>
      </c>
      <c r="F7">
        <v>0.59677800000000003</v>
      </c>
      <c r="G7">
        <v>1</v>
      </c>
      <c r="H7">
        <v>0.766656</v>
      </c>
      <c r="I7">
        <v>0.67505000000000004</v>
      </c>
    </row>
    <row r="8" spans="1:10" x14ac:dyDescent="0.3">
      <c r="A8" s="3" t="s">
        <v>6</v>
      </c>
      <c r="B8">
        <v>0.54807600000000001</v>
      </c>
      <c r="C8">
        <v>0.41420099999999999</v>
      </c>
      <c r="D8">
        <v>0.40533200000000003</v>
      </c>
      <c r="E8">
        <v>0.304004</v>
      </c>
      <c r="F8">
        <v>0.35951699999999998</v>
      </c>
      <c r="G8">
        <v>0.766656</v>
      </c>
      <c r="H8">
        <v>1</v>
      </c>
      <c r="I8">
        <v>0.81627000000000005</v>
      </c>
    </row>
    <row r="9" spans="1:10" x14ac:dyDescent="0.3">
      <c r="A9" s="3" t="s">
        <v>46</v>
      </c>
      <c r="B9">
        <v>0.54870300000000005</v>
      </c>
      <c r="C9">
        <v>0.39578000000000002</v>
      </c>
      <c r="D9">
        <v>0.46880699999999997</v>
      </c>
      <c r="E9">
        <v>0.36983500000000002</v>
      </c>
      <c r="F9">
        <v>0.40662500000000001</v>
      </c>
      <c r="G9">
        <v>0.67505000000000004</v>
      </c>
      <c r="H9">
        <v>0.81627000000000005</v>
      </c>
      <c r="I9">
        <v>1</v>
      </c>
    </row>
  </sheetData>
  <mergeCells count="1">
    <mergeCell ref="J2:J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0E63-D9F8-4606-9CC9-8F89AD470AD7}">
  <dimension ref="A1:O18"/>
  <sheetViews>
    <sheetView workbookViewId="0">
      <selection activeCell="O2" sqref="O2"/>
    </sheetView>
  </sheetViews>
  <sheetFormatPr defaultRowHeight="14.4" x14ac:dyDescent="0.3"/>
  <cols>
    <col min="1" max="1" width="11.88671875" customWidth="1"/>
    <col min="2" max="2" width="19" customWidth="1"/>
    <col min="3" max="3" width="21.109375" customWidth="1"/>
    <col min="10" max="11" width="19.33203125" customWidth="1"/>
  </cols>
  <sheetData>
    <row r="1" spans="1:15" x14ac:dyDescent="0.3">
      <c r="A1" t="s">
        <v>18</v>
      </c>
      <c r="B1" t="s">
        <v>19</v>
      </c>
      <c r="C1" t="s">
        <v>20</v>
      </c>
      <c r="D1" t="s">
        <v>2</v>
      </c>
      <c r="E1" t="s">
        <v>3</v>
      </c>
      <c r="F1" t="s">
        <v>44</v>
      </c>
      <c r="G1" t="s">
        <v>45</v>
      </c>
      <c r="H1" t="s">
        <v>4</v>
      </c>
      <c r="I1" t="s">
        <v>5</v>
      </c>
      <c r="J1" t="s">
        <v>6</v>
      </c>
      <c r="K1" t="s">
        <v>46</v>
      </c>
      <c r="L1" t="s">
        <v>36</v>
      </c>
      <c r="M1" t="s">
        <v>37</v>
      </c>
      <c r="N1" t="s">
        <v>38</v>
      </c>
      <c r="O1" t="s">
        <v>48</v>
      </c>
    </row>
    <row r="2" spans="1:15" x14ac:dyDescent="0.3">
      <c r="A2" t="s">
        <v>7</v>
      </c>
      <c r="B2">
        <v>1</v>
      </c>
      <c r="C2">
        <v>4</v>
      </c>
      <c r="D2" t="s">
        <v>22</v>
      </c>
      <c r="E2" t="s">
        <v>22</v>
      </c>
      <c r="F2" t="s">
        <v>21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>
        <f>COUNTIF($D2:$K2,"A")</f>
        <v>1</v>
      </c>
      <c r="M2">
        <f>COUNTIF($D2:$K2,"B")</f>
        <v>7</v>
      </c>
      <c r="N2">
        <f>(L2*(L2-1) + M2*(M2-1)) / (COUNTA($D2:$K2) * (COUNTA($D2:$K2) - 1))</f>
        <v>0.75</v>
      </c>
      <c r="O2" t="str">
        <f t="shared" ref="O2:O11" si="0">IF(B2&gt;C2,"A","B")</f>
        <v>B</v>
      </c>
    </row>
    <row r="3" spans="1:15" x14ac:dyDescent="0.3">
      <c r="A3" t="s">
        <v>8</v>
      </c>
      <c r="B3">
        <v>4</v>
      </c>
      <c r="C3">
        <v>3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>
        <f t="shared" ref="L3:L11" si="1">COUNTIF($D3:$K3,"A")</f>
        <v>8</v>
      </c>
      <c r="M3">
        <f t="shared" ref="M3:M11" si="2">COUNTIF($D3:$K3,"B")</f>
        <v>0</v>
      </c>
      <c r="N3">
        <f t="shared" ref="N3:N11" si="3">(L3*(L3-1) + M3*(M3-1)) / (COUNTA($D3:$K3) * (COUNTA($D3:$K3) - 1))</f>
        <v>1</v>
      </c>
      <c r="O3" t="str">
        <f t="shared" si="0"/>
        <v>A</v>
      </c>
    </row>
    <row r="4" spans="1:15" x14ac:dyDescent="0.3">
      <c r="A4" t="s">
        <v>9</v>
      </c>
      <c r="B4">
        <v>4</v>
      </c>
      <c r="C4">
        <v>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>
        <f t="shared" si="1"/>
        <v>8</v>
      </c>
      <c r="M4">
        <f t="shared" si="2"/>
        <v>0</v>
      </c>
      <c r="N4">
        <f t="shared" si="3"/>
        <v>1</v>
      </c>
      <c r="O4" t="str">
        <f t="shared" si="0"/>
        <v>A</v>
      </c>
    </row>
    <row r="5" spans="1:15" x14ac:dyDescent="0.3">
      <c r="A5" t="s">
        <v>10</v>
      </c>
      <c r="B5">
        <v>5</v>
      </c>
      <c r="C5">
        <v>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>
        <f t="shared" si="1"/>
        <v>8</v>
      </c>
      <c r="M5">
        <f t="shared" si="2"/>
        <v>0</v>
      </c>
      <c r="N5">
        <f t="shared" si="3"/>
        <v>1</v>
      </c>
      <c r="O5" t="str">
        <f t="shared" si="0"/>
        <v>A</v>
      </c>
    </row>
    <row r="6" spans="1:15" x14ac:dyDescent="0.3">
      <c r="A6" t="s">
        <v>11</v>
      </c>
      <c r="B6">
        <v>2</v>
      </c>
      <c r="C6">
        <v>5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>
        <f t="shared" si="1"/>
        <v>0</v>
      </c>
      <c r="M6">
        <f t="shared" si="2"/>
        <v>8</v>
      </c>
      <c r="N6">
        <f t="shared" si="3"/>
        <v>1</v>
      </c>
      <c r="O6" t="str">
        <f t="shared" si="0"/>
        <v>B</v>
      </c>
    </row>
    <row r="7" spans="1:15" x14ac:dyDescent="0.3">
      <c r="A7" t="s">
        <v>12</v>
      </c>
      <c r="B7">
        <v>1</v>
      </c>
      <c r="C7">
        <v>3</v>
      </c>
      <c r="D7" t="s">
        <v>22</v>
      </c>
      <c r="E7" t="s">
        <v>22</v>
      </c>
      <c r="F7" t="s">
        <v>21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>
        <f t="shared" si="1"/>
        <v>1</v>
      </c>
      <c r="M7">
        <f t="shared" si="2"/>
        <v>7</v>
      </c>
      <c r="N7">
        <f t="shared" si="3"/>
        <v>0.75</v>
      </c>
      <c r="O7" t="str">
        <f t="shared" si="0"/>
        <v>B</v>
      </c>
    </row>
    <row r="8" spans="1:15" x14ac:dyDescent="0.3">
      <c r="A8" t="s">
        <v>13</v>
      </c>
      <c r="B8">
        <v>3</v>
      </c>
      <c r="C8">
        <v>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>
        <f t="shared" si="1"/>
        <v>8</v>
      </c>
      <c r="M8">
        <f t="shared" si="2"/>
        <v>0</v>
      </c>
      <c r="N8">
        <f t="shared" si="3"/>
        <v>1</v>
      </c>
      <c r="O8" t="str">
        <f t="shared" si="0"/>
        <v>A</v>
      </c>
    </row>
    <row r="9" spans="1:15" x14ac:dyDescent="0.3">
      <c r="A9" t="s">
        <v>14</v>
      </c>
      <c r="B9">
        <v>5</v>
      </c>
      <c r="C9">
        <v>3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>
        <f t="shared" si="1"/>
        <v>8</v>
      </c>
      <c r="M9">
        <f t="shared" si="2"/>
        <v>0</v>
      </c>
      <c r="N9">
        <f t="shared" si="3"/>
        <v>1</v>
      </c>
      <c r="O9" t="str">
        <f t="shared" si="0"/>
        <v>A</v>
      </c>
    </row>
    <row r="10" spans="1:15" x14ac:dyDescent="0.3">
      <c r="A10" t="s">
        <v>15</v>
      </c>
      <c r="B10">
        <v>5</v>
      </c>
      <c r="C10">
        <v>2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>
        <f t="shared" si="1"/>
        <v>8</v>
      </c>
      <c r="M10">
        <f t="shared" si="2"/>
        <v>0</v>
      </c>
      <c r="N10">
        <f t="shared" si="3"/>
        <v>1</v>
      </c>
      <c r="O10" t="str">
        <f t="shared" si="0"/>
        <v>A</v>
      </c>
    </row>
    <row r="11" spans="1:15" x14ac:dyDescent="0.3">
      <c r="A11" t="s">
        <v>16</v>
      </c>
      <c r="B11">
        <v>5</v>
      </c>
      <c r="C11">
        <v>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>
        <f t="shared" si="1"/>
        <v>8</v>
      </c>
      <c r="M11">
        <f t="shared" si="2"/>
        <v>0</v>
      </c>
      <c r="N11">
        <f t="shared" si="3"/>
        <v>1</v>
      </c>
      <c r="O11" t="str">
        <f t="shared" si="0"/>
        <v>A</v>
      </c>
    </row>
    <row r="17" spans="10:15" x14ac:dyDescent="0.3">
      <c r="J17" s="5" t="s">
        <v>39</v>
      </c>
      <c r="K17" s="5"/>
      <c r="L17" s="5" t="s">
        <v>40</v>
      </c>
      <c r="M17" s="5" t="s">
        <v>41</v>
      </c>
      <c r="N17" s="5" t="s">
        <v>42</v>
      </c>
      <c r="O17" s="5" t="s">
        <v>43</v>
      </c>
    </row>
    <row r="18" spans="10:15" x14ac:dyDescent="0.3">
      <c r="J18" s="5">
        <f>AVERAGE($N$2:$N$11)</f>
        <v>0.95</v>
      </c>
      <c r="K18" s="5"/>
      <c r="L18" s="5">
        <f>SUM(L2:L11)/SUM(L2:L11,M2:M11)</f>
        <v>0.72499999999999998</v>
      </c>
      <c r="M18" s="5">
        <f>SUM(M2:M11)/SUM(L2:L11,M2:M11)</f>
        <v>0.27500000000000002</v>
      </c>
      <c r="N18" s="5">
        <f>(L18^2 + M18^2)</f>
        <v>0.60125000000000006</v>
      </c>
      <c r="O18" s="5">
        <f>(J18 - N18)/(1 - N18)</f>
        <v>0.87460815047021934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234D-7E4C-441D-9FFB-8E4230BDAB6A}">
  <dimension ref="A1:O18"/>
  <sheetViews>
    <sheetView tabSelected="1" workbookViewId="0">
      <selection activeCell="Q3" sqref="Q3"/>
    </sheetView>
  </sheetViews>
  <sheetFormatPr defaultRowHeight="14.4" x14ac:dyDescent="0.3"/>
  <cols>
    <col min="2" max="2" width="18.88671875" customWidth="1"/>
    <col min="3" max="3" width="13.6640625" customWidth="1"/>
    <col min="12" max="12" width="12.77734375" customWidth="1"/>
    <col min="13" max="13" width="13.33203125" customWidth="1"/>
    <col min="14" max="14" width="19" customWidth="1"/>
  </cols>
  <sheetData>
    <row r="1" spans="1:15" x14ac:dyDescent="0.3">
      <c r="A1" t="s">
        <v>35</v>
      </c>
      <c r="B1" t="s">
        <v>19</v>
      </c>
      <c r="C1" t="s">
        <v>23</v>
      </c>
      <c r="D1" t="s">
        <v>2</v>
      </c>
      <c r="E1" t="s">
        <v>3</v>
      </c>
      <c r="F1" t="s">
        <v>44</v>
      </c>
      <c r="G1" t="s">
        <v>45</v>
      </c>
      <c r="H1" t="s">
        <v>4</v>
      </c>
      <c r="I1" t="s">
        <v>5</v>
      </c>
      <c r="J1" t="s">
        <v>6</v>
      </c>
      <c r="K1" t="s">
        <v>46</v>
      </c>
      <c r="L1" t="s">
        <v>36</v>
      </c>
      <c r="M1" t="s">
        <v>37</v>
      </c>
      <c r="N1" t="s">
        <v>38</v>
      </c>
      <c r="O1" t="s">
        <v>48</v>
      </c>
    </row>
    <row r="2" spans="1:15" x14ac:dyDescent="0.3">
      <c r="A2" t="s">
        <v>7</v>
      </c>
      <c r="B2">
        <v>5</v>
      </c>
      <c r="C2">
        <v>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>
        <f>COUNTIF($D2:$K2,"A")</f>
        <v>8</v>
      </c>
      <c r="M2">
        <f>COUNTIF($D2:$K2,"B")</f>
        <v>0</v>
      </c>
      <c r="N2">
        <f>(L2*(L2-1) + M2*(M2-1)) / (COUNTA($D2:$K2) * (COUNTA($D2:$K2) - 1))</f>
        <v>1</v>
      </c>
      <c r="O2" t="str">
        <f>IF(B2&gt;C2,"A","B")</f>
        <v>A</v>
      </c>
    </row>
    <row r="3" spans="1:15" x14ac:dyDescent="0.3">
      <c r="A3" t="s">
        <v>8</v>
      </c>
      <c r="B3">
        <v>5</v>
      </c>
      <c r="C3">
        <v>4</v>
      </c>
      <c r="D3" t="s">
        <v>22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>
        <f t="shared" ref="L3:L11" si="0">COUNTIF($D3:$K3,"A")</f>
        <v>7</v>
      </c>
      <c r="M3">
        <f t="shared" ref="M3:M11" si="1">COUNTIF($D3:$K3,"B")</f>
        <v>1</v>
      </c>
      <c r="N3">
        <f t="shared" ref="N3:N11" si="2">(L3*(L3-1) + M3*(M3-1)) / (COUNTA($D3:$K3) * (COUNTA($D3:$K3) - 1))</f>
        <v>0.75</v>
      </c>
      <c r="O3" t="str">
        <f t="shared" ref="O3:O11" si="3">IF(B3&gt;C3,"A","B")</f>
        <v>A</v>
      </c>
    </row>
    <row r="4" spans="1:15" x14ac:dyDescent="0.3">
      <c r="A4" t="s">
        <v>9</v>
      </c>
      <c r="B4">
        <v>5</v>
      </c>
      <c r="C4">
        <v>3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>
        <f t="shared" si="0"/>
        <v>8</v>
      </c>
      <c r="M4">
        <f t="shared" si="1"/>
        <v>0</v>
      </c>
      <c r="N4">
        <f t="shared" si="2"/>
        <v>1</v>
      </c>
      <c r="O4" t="str">
        <f t="shared" si="3"/>
        <v>A</v>
      </c>
    </row>
    <row r="5" spans="1:15" x14ac:dyDescent="0.3">
      <c r="A5" t="s">
        <v>10</v>
      </c>
      <c r="B5">
        <v>4</v>
      </c>
      <c r="C5">
        <v>3</v>
      </c>
      <c r="D5" t="s">
        <v>21</v>
      </c>
      <c r="E5" t="s">
        <v>21</v>
      </c>
      <c r="F5" t="s">
        <v>21</v>
      </c>
      <c r="G5" t="s">
        <v>21</v>
      </c>
      <c r="H5" t="s">
        <v>22</v>
      </c>
      <c r="I5" t="s">
        <v>21</v>
      </c>
      <c r="J5" t="s">
        <v>21</v>
      </c>
      <c r="K5" t="s">
        <v>21</v>
      </c>
      <c r="L5">
        <f t="shared" si="0"/>
        <v>7</v>
      </c>
      <c r="M5">
        <f t="shared" si="1"/>
        <v>1</v>
      </c>
      <c r="N5">
        <f t="shared" si="2"/>
        <v>0.75</v>
      </c>
      <c r="O5" t="str">
        <f t="shared" si="3"/>
        <v>A</v>
      </c>
    </row>
    <row r="6" spans="1:15" x14ac:dyDescent="0.3">
      <c r="A6" t="s">
        <v>11</v>
      </c>
      <c r="B6">
        <v>3</v>
      </c>
      <c r="C6">
        <v>4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>
        <f t="shared" si="0"/>
        <v>0</v>
      </c>
      <c r="M6">
        <f t="shared" si="1"/>
        <v>8</v>
      </c>
      <c r="N6">
        <f t="shared" si="2"/>
        <v>1</v>
      </c>
      <c r="O6" t="str">
        <f t="shared" si="3"/>
        <v>B</v>
      </c>
    </row>
    <row r="7" spans="1:15" x14ac:dyDescent="0.3">
      <c r="A7" t="s">
        <v>12</v>
      </c>
      <c r="B7">
        <v>5</v>
      </c>
      <c r="C7">
        <v>3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21</v>
      </c>
      <c r="K7" t="s">
        <v>21</v>
      </c>
      <c r="L7">
        <f t="shared" si="0"/>
        <v>7</v>
      </c>
      <c r="M7">
        <f t="shared" si="1"/>
        <v>1</v>
      </c>
      <c r="N7">
        <f t="shared" si="2"/>
        <v>0.75</v>
      </c>
      <c r="O7" t="str">
        <f t="shared" si="3"/>
        <v>A</v>
      </c>
    </row>
    <row r="8" spans="1:15" x14ac:dyDescent="0.3">
      <c r="A8" t="s">
        <v>13</v>
      </c>
      <c r="B8">
        <v>3</v>
      </c>
      <c r="C8">
        <v>4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>
        <f t="shared" si="0"/>
        <v>0</v>
      </c>
      <c r="M8">
        <f t="shared" si="1"/>
        <v>8</v>
      </c>
      <c r="N8">
        <f t="shared" si="2"/>
        <v>1</v>
      </c>
      <c r="O8" t="str">
        <f t="shared" si="3"/>
        <v>B</v>
      </c>
    </row>
    <row r="9" spans="1:15" x14ac:dyDescent="0.3">
      <c r="A9" t="s">
        <v>14</v>
      </c>
      <c r="B9">
        <v>3</v>
      </c>
      <c r="C9">
        <v>5</v>
      </c>
      <c r="D9" t="s">
        <v>22</v>
      </c>
      <c r="E9" t="s">
        <v>22</v>
      </c>
      <c r="F9" t="s">
        <v>22</v>
      </c>
      <c r="G9" t="s">
        <v>21</v>
      </c>
      <c r="H9" t="s">
        <v>22</v>
      </c>
      <c r="I9" t="s">
        <v>22</v>
      </c>
      <c r="J9" t="s">
        <v>22</v>
      </c>
      <c r="K9" t="s">
        <v>22</v>
      </c>
      <c r="L9">
        <f t="shared" si="0"/>
        <v>1</v>
      </c>
      <c r="M9">
        <f t="shared" si="1"/>
        <v>7</v>
      </c>
      <c r="N9">
        <f t="shared" si="2"/>
        <v>0.75</v>
      </c>
      <c r="O9" t="str">
        <f t="shared" si="3"/>
        <v>B</v>
      </c>
    </row>
    <row r="10" spans="1:15" x14ac:dyDescent="0.3">
      <c r="A10" t="s">
        <v>15</v>
      </c>
      <c r="B10">
        <v>5</v>
      </c>
      <c r="C10">
        <v>4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>
        <f t="shared" si="0"/>
        <v>8</v>
      </c>
      <c r="M10">
        <f t="shared" si="1"/>
        <v>0</v>
      </c>
      <c r="N10">
        <f t="shared" si="2"/>
        <v>1</v>
      </c>
      <c r="O10" t="str">
        <f t="shared" si="3"/>
        <v>A</v>
      </c>
    </row>
    <row r="11" spans="1:15" x14ac:dyDescent="0.3">
      <c r="A11" t="s">
        <v>16</v>
      </c>
      <c r="B11">
        <v>5</v>
      </c>
      <c r="C11">
        <v>4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>
        <f t="shared" si="0"/>
        <v>8</v>
      </c>
      <c r="M11">
        <f t="shared" si="1"/>
        <v>0</v>
      </c>
      <c r="N11">
        <f t="shared" si="2"/>
        <v>1</v>
      </c>
      <c r="O11" t="str">
        <f t="shared" si="3"/>
        <v>A</v>
      </c>
    </row>
    <row r="17" spans="8:15" x14ac:dyDescent="0.3">
      <c r="H17" s="5" t="s">
        <v>39</v>
      </c>
      <c r="I17" s="5"/>
      <c r="J17" s="5"/>
      <c r="K17" s="5"/>
      <c r="L17" s="5" t="s">
        <v>40</v>
      </c>
      <c r="M17" s="5" t="s">
        <v>41</v>
      </c>
      <c r="N17" s="5" t="s">
        <v>42</v>
      </c>
      <c r="O17" s="5" t="s">
        <v>43</v>
      </c>
    </row>
    <row r="18" spans="8:15" x14ac:dyDescent="0.3">
      <c r="H18" s="5">
        <f>AVERAGE($N$2:$N$11)</f>
        <v>0.9</v>
      </c>
      <c r="I18" s="5"/>
      <c r="J18" s="5"/>
      <c r="K18" s="5"/>
      <c r="L18" s="5">
        <f>SUM(L2:L11)/SUM(L2:L11,M2:M11)</f>
        <v>0.67500000000000004</v>
      </c>
      <c r="M18" s="5">
        <f>SUM(M2:M11)/SUM(L2:L11,M2:M11)</f>
        <v>0.32500000000000001</v>
      </c>
      <c r="N18" s="5">
        <f>(L18^2 + M18^2)</f>
        <v>0.56125000000000003</v>
      </c>
      <c r="O18" s="5">
        <f>(H18 - N18)/(1 - N18)</f>
        <v>0.77207977207977208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70E5CA65AD345BD1DA523111477C4" ma:contentTypeVersion="5" ma:contentTypeDescription="Create a new document." ma:contentTypeScope="" ma:versionID="3ced30a20be46bf2a07bef393f2adba3">
  <xsd:schema xmlns:xsd="http://www.w3.org/2001/XMLSchema" xmlns:xs="http://www.w3.org/2001/XMLSchema" xmlns:p="http://schemas.microsoft.com/office/2006/metadata/properties" xmlns:ns3="ffb1b1c5-72c4-48ac-bba8-4a4e3a1880ef" targetNamespace="http://schemas.microsoft.com/office/2006/metadata/properties" ma:root="true" ma:fieldsID="c7bc5959a980ef60ed7448647a824ff6" ns3:_="">
    <xsd:import namespace="ffb1b1c5-72c4-48ac-bba8-4a4e3a1880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1b1c5-72c4-48ac-bba8-4a4e3a1880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b1b1c5-72c4-48ac-bba8-4a4e3a1880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E591B7-F54A-485B-8CE9-727F9ABBF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b1b1c5-72c4-48ac-bba8-4a4e3a1880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23F74F-B6DA-4C5E-B805-085C5F3AAEAF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ffb1b1c5-72c4-48ac-bba8-4a4e3a1880ef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7FAB176-4C42-4DC5-9B33-BCF55F3060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Regression - Task 1</vt:lpstr>
      <vt:lpstr>Inter-Rater (Pearson)</vt:lpstr>
      <vt:lpstr>Inter-Rater(Spearman)</vt:lpstr>
      <vt:lpstr>Comparative - Task 2</vt:lpstr>
      <vt:lpstr>Same_Image -  Task 3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Kezia Minni Abraham Manoharan (RIT Student)</dc:creator>
  <cp:lastModifiedBy>Kezia Minni Abraham Manoharan (RIT Student)</cp:lastModifiedBy>
  <dcterms:created xsi:type="dcterms:W3CDTF">2025-11-06T17:49:16Z</dcterms:created>
  <dcterms:modified xsi:type="dcterms:W3CDTF">2025-12-13T01:14:43Z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0x010100C7970E5CA65AD345BD1DA523111477C4</vt:lpwstr>
  </property>
</Properties>
</file>