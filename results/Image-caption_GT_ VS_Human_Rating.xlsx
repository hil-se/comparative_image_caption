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nni\comparative_image_caption\results\"/>
    </mc:Choice>
  </mc:AlternateContent>
  <xr:revisionPtr revIDLastSave="0" documentId="13_ncr:1_{CD0B520F-062B-4660-961F-CA842FABA0E0}" xr6:coauthVersionLast="47" xr6:coauthVersionMax="47" xr10:uidLastSave="{00000000-0000-0000-0000-000000000000}"/>
  <bookViews>
    <workbookView xWindow="28680" yWindow="-120" windowWidth="38640" windowHeight="21240" activeTab="7" xr2:uid="{D6321BD8-A525-441C-A5AC-E2373B91F963}"/>
  </bookViews>
  <sheets>
    <sheet name="task1" sheetId="7" r:id="rId1"/>
    <sheet name="task2" sheetId="8" r:id="rId2"/>
    <sheet name="task3" sheetId="9" r:id="rId3"/>
    <sheet name="Regression - Task 1" sheetId="1" r:id="rId4"/>
    <sheet name="Inter-Rater (Pearson)" sheetId="4" r:id="rId5"/>
    <sheet name="Inter-Rater(Spearman)" sheetId="6" r:id="rId6"/>
    <sheet name="Comparative - Task 2" sheetId="2" r:id="rId7"/>
    <sheet name="Same_Image -  Task 3 " sheetId="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O10" i="1" s="1"/>
  <c r="K11" i="1"/>
  <c r="K2" i="1"/>
  <c r="M3" i="1" a="1"/>
  <c r="M3" i="1" s="1"/>
  <c r="M4" i="1" a="1"/>
  <c r="M4" i="1" s="1"/>
  <c r="M5" i="1" a="1"/>
  <c r="M5" i="1" s="1"/>
  <c r="M6" i="1" a="1"/>
  <c r="M6" i="1" s="1"/>
  <c r="M7" i="1" a="1"/>
  <c r="M7" i="1" s="1"/>
  <c r="M8" i="1" a="1"/>
  <c r="M8" i="1"/>
  <c r="M9" i="1" a="1"/>
  <c r="M9" i="1"/>
  <c r="M10" i="1" a="1"/>
  <c r="M10" i="1"/>
  <c r="M11" i="1" a="1"/>
  <c r="M11" i="1" s="1"/>
  <c r="M2" i="1" a="1"/>
  <c r="M2" i="1" s="1"/>
  <c r="O3" i="3"/>
  <c r="O4" i="3"/>
  <c r="O5" i="3"/>
  <c r="O6" i="3"/>
  <c r="O7" i="3"/>
  <c r="O8" i="3"/>
  <c r="O9" i="3"/>
  <c r="O10" i="3"/>
  <c r="O11" i="3"/>
  <c r="O2" i="3"/>
  <c r="O2" i="2"/>
  <c r="O3" i="2"/>
  <c r="O4" i="2"/>
  <c r="O5" i="2"/>
  <c r="O6" i="2"/>
  <c r="O7" i="2"/>
  <c r="O8" i="2"/>
  <c r="O9" i="2"/>
  <c r="O10" i="2"/>
  <c r="O11" i="2"/>
  <c r="J2" i="4"/>
  <c r="N3" i="3"/>
  <c r="N4" i="3"/>
  <c r="N5" i="3"/>
  <c r="N6" i="3"/>
  <c r="N7" i="3"/>
  <c r="N8" i="3"/>
  <c r="N9" i="3"/>
  <c r="N10" i="3"/>
  <c r="N11" i="3"/>
  <c r="N2" i="3"/>
  <c r="M3" i="3"/>
  <c r="M4" i="3"/>
  <c r="M5" i="3"/>
  <c r="M6" i="3"/>
  <c r="M7" i="3"/>
  <c r="M8" i="3"/>
  <c r="M9" i="3"/>
  <c r="M10" i="3"/>
  <c r="M11" i="3"/>
  <c r="M2" i="3"/>
  <c r="L3" i="3"/>
  <c r="L4" i="3"/>
  <c r="L5" i="3"/>
  <c r="L6" i="3"/>
  <c r="L7" i="3"/>
  <c r="L8" i="3"/>
  <c r="L9" i="3"/>
  <c r="L10" i="3"/>
  <c r="L11" i="3"/>
  <c r="L2" i="3"/>
  <c r="M3" i="2"/>
  <c r="M4" i="2"/>
  <c r="M5" i="2"/>
  <c r="M6" i="2"/>
  <c r="M7" i="2"/>
  <c r="M8" i="2"/>
  <c r="M9" i="2"/>
  <c r="M10" i="2"/>
  <c r="M11" i="2"/>
  <c r="M2" i="2"/>
  <c r="L3" i="2"/>
  <c r="N3" i="2" s="1"/>
  <c r="L4" i="2"/>
  <c r="N4" i="2" s="1"/>
  <c r="L5" i="2"/>
  <c r="N5" i="2" s="1"/>
  <c r="L6" i="2"/>
  <c r="N6" i="2" s="1"/>
  <c r="L7" i="2"/>
  <c r="N7" i="2" s="1"/>
  <c r="L8" i="2"/>
  <c r="N8" i="2" s="1"/>
  <c r="L9" i="2"/>
  <c r="N9" i="2" s="1"/>
  <c r="L10" i="2"/>
  <c r="N10" i="2" s="1"/>
  <c r="L11" i="2"/>
  <c r="N11" i="2" s="1"/>
  <c r="L2" i="2"/>
  <c r="N2" i="2" s="1"/>
  <c r="J2" i="6"/>
  <c r="N3" i="1"/>
  <c r="N4" i="1"/>
  <c r="N5" i="1"/>
  <c r="N6" i="1"/>
  <c r="N7" i="1"/>
  <c r="N8" i="1"/>
  <c r="N9" i="1"/>
  <c r="N10" i="1"/>
  <c r="N11" i="1"/>
  <c r="N2" i="1"/>
  <c r="L3" i="1"/>
  <c r="L4" i="1"/>
  <c r="L5" i="1"/>
  <c r="L6" i="1"/>
  <c r="L7" i="1"/>
  <c r="L8" i="1"/>
  <c r="L9" i="1"/>
  <c r="L10" i="1"/>
  <c r="L11" i="1"/>
  <c r="L2" i="1"/>
  <c r="P2" i="1"/>
  <c r="P3" i="1"/>
  <c r="P4" i="1"/>
  <c r="P5" i="1"/>
  <c r="P6" i="1"/>
  <c r="P7" i="1"/>
  <c r="P8" i="1"/>
  <c r="P9" i="1"/>
  <c r="P10" i="1"/>
  <c r="P11" i="1"/>
  <c r="O3" i="1"/>
  <c r="O4" i="1"/>
  <c r="O5" i="1"/>
  <c r="O6" i="1"/>
  <c r="O7" i="1"/>
  <c r="O8" i="1"/>
  <c r="O9" i="1"/>
  <c r="O11" i="1"/>
  <c r="O2" i="1"/>
  <c r="M18" i="3" l="1"/>
  <c r="L18" i="3"/>
  <c r="L18" i="2"/>
  <c r="M18" i="2"/>
  <c r="M12" i="1"/>
  <c r="Q10" i="1"/>
  <c r="Q11" i="1"/>
  <c r="L12" i="1"/>
  <c r="Q3" i="1"/>
  <c r="Q9" i="1"/>
  <c r="N12" i="1"/>
  <c r="Q6" i="1"/>
  <c r="Q5" i="1"/>
  <c r="Q7" i="1"/>
  <c r="Q2" i="1"/>
  <c r="Q4" i="1"/>
  <c r="Q8" i="1"/>
  <c r="T12" i="1"/>
  <c r="R12" i="1"/>
  <c r="N18" i="2" l="1"/>
  <c r="N18" i="3"/>
  <c r="H18" i="3"/>
  <c r="J18" i="2"/>
  <c r="O18" i="2" s="1"/>
  <c r="S12" i="1"/>
  <c r="O18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<sst xmlns="http://schemas.openxmlformats.org/spreadsheetml/2006/main" count="422" uniqueCount="152">
  <si>
    <t>Task 1</t>
  </si>
  <si>
    <t>Ground_Truth</t>
  </si>
  <si>
    <t>P1</t>
  </si>
  <si>
    <t>P2</t>
  </si>
  <si>
    <t>P5</t>
  </si>
  <si>
    <t>P6</t>
  </si>
  <si>
    <t>P7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</si>
  <si>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</si>
  <si>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</si>
  <si>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</si>
  <si>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</si>
  <si>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</si>
  <si>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</si>
  <si>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</si>
  <si>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</si>
  <si>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</si>
  <si>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</si>
  <si>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AVG_P_Rating</t>
  </si>
  <si>
    <t>Task 2</t>
  </si>
  <si>
    <t>ImageA_CaptionA_GT</t>
  </si>
  <si>
    <t>ImageB_CaptionB_GT</t>
  </si>
  <si>
    <t>A</t>
  </si>
  <si>
    <t>B</t>
  </si>
  <si>
    <t>ImageA_CaptionB_GT</t>
  </si>
  <si>
    <t>All_Same</t>
  </si>
  <si>
    <t>Consistency</t>
  </si>
  <si>
    <t>Overall_mean_Pearson_Correlation</t>
  </si>
  <si>
    <t>Overall_mean_Spearman_Correlation</t>
  </si>
  <si>
    <t>Abs_Error(GT-AVG)</t>
  </si>
  <si>
    <t>Rank_GT</t>
  </si>
  <si>
    <t>Rank_AVG_P</t>
  </si>
  <si>
    <t>Spearman correlation</t>
  </si>
  <si>
    <t>Pearson correlation</t>
  </si>
  <si>
    <t>MAE</t>
  </si>
  <si>
    <t>Majority_Agreement</t>
  </si>
  <si>
    <t>Task 3</t>
  </si>
  <si>
    <t>Count_A</t>
  </si>
  <si>
    <t>Count_B</t>
  </si>
  <si>
    <t>P_i</t>
  </si>
  <si>
    <t>Observed agreement (Pₒ)</t>
  </si>
  <si>
    <t>Proportion A (pA)</t>
  </si>
  <si>
    <t>Proportion B (pB)</t>
  </si>
  <si>
    <t>Expected Agreement (Pₑ)</t>
  </si>
  <si>
    <t>Kappa (κ)</t>
  </si>
  <si>
    <t>P3</t>
  </si>
  <si>
    <t>P4</t>
  </si>
  <si>
    <t>P8</t>
  </si>
  <si>
    <t>Rater</t>
  </si>
  <si>
    <t>GT_choice</t>
  </si>
  <si>
    <t>Image</t>
  </si>
  <si>
    <t>Caption</t>
  </si>
  <si>
    <t>http://images.cocodataset.org/val2014/COCO_val2014_000000404780.jpg</t>
  </si>
  <si>
    <t>a group of people that are on the beach .</t>
  </si>
  <si>
    <t>http://images.cocodataset.org/val2014/COCO_val2014_000000511594.jpg</t>
  </si>
  <si>
    <t>a woman in a red jacket is standing next to a sign .</t>
  </si>
  <si>
    <t>A man in a black jacket is walking down a hill.</t>
  </si>
  <si>
    <t>A man on a motorcycle going down the street.</t>
  </si>
  <si>
    <t>An apple sitting on top of a laptop.</t>
  </si>
  <si>
    <t>A man with some suitcases on the street.</t>
  </si>
  <si>
    <t>A large building with a clock tower is lit up at night.</t>
  </si>
  <si>
    <t>People walking down the street in the rain.</t>
  </si>
  <si>
    <t>A double oven mounted inside of a yellow wall.</t>
  </si>
  <si>
    <t> A group of people standing next to each other.</t>
  </si>
  <si>
    <t>http://images.cocodataset.org/val2014/COCO_val2014_000000063563.jpg</t>
  </si>
  <si>
    <t>http://images.cocodataset.org/val2014/COCO_val2014_000000421370.jpg</t>
  </si>
  <si>
    <t>http://images.cocodataset.org/val2014/COCO_val2014_000000038252.jpg</t>
  </si>
  <si>
    <t>http://images.cocodataset.org/val2014/COCO_val2014_000000393578.jpg</t>
  </si>
  <si>
    <t>http://images.cocodataset.org/val2014/COCO_val2014_000000053139.jpg</t>
  </si>
  <si>
    <t>http://images.cocodataset.org/val2014/COCO_val2014_000000555002.jpg</t>
  </si>
  <si>
    <t>http://images.cocodataset.org/val2014/COCO_val2014_000000192656.jpg</t>
  </si>
  <si>
    <t>http://images.cocodataset.org/val2014/COCO_val2014_000000323799.jpg</t>
  </si>
  <si>
    <t>A table and chairs sit on a grassy walkway, with a pitcher</t>
  </si>
  <si>
    <t>Orange construction equipment sitting on the side of the road</t>
  </si>
  <si>
    <t>http://images.cocodataset.org/val2014/COCO_val2014_000000395865.jpg</t>
  </si>
  <si>
    <t>http://images.cocodataset.org/val2014/COCO_val2014_000000344844.jpg</t>
  </si>
  <si>
    <t>A cat laying on the ground next to a person</t>
  </si>
  <si>
    <t>A man is riding a bike in the snow.</t>
  </si>
  <si>
    <t>http://images.cocodataset.org/val2014/COCO_val2014_000000501382.jpg</t>
  </si>
  <si>
    <t>http://images.cocodataset.org/val2014/COCO_val2014_000000030504.jpg</t>
  </si>
  <si>
    <t>A man standing in front of a brick wall.</t>
  </si>
  <si>
    <t>A laptop next to two computers, keyboards and some mouses.</t>
  </si>
  <si>
    <t>A black and white picture of vehicles and people in the street.</t>
  </si>
  <si>
    <t>http://images.cocodataset.org/val2014/COCO_val2014_000000301347.jpg</t>
  </si>
  <si>
    <t>a dog is standing in the snow with a large stick .</t>
  </si>
  <si>
    <t>A large tree with a lot of decorations on it.</t>
  </si>
  <si>
    <t>Two burritos on a plate with a spoon next to a pack of cigarettes.</t>
  </si>
  <si>
    <t>A bathroom is shown, with a urinal and a bidet.</t>
  </si>
  <si>
    <t> A dog is laying on the grass with a leash.</t>
  </si>
  <si>
    <t>A car is parked in front of a building</t>
  </si>
  <si>
    <t>A squirrel is standing on a rock with a rope.</t>
  </si>
  <si>
    <t>A herd of sheep in an open snowy field.</t>
  </si>
  <si>
    <t>A computer screen is displayed with a lot of books.</t>
  </si>
  <si>
    <t>A bird themed clock sitting inside of a green box.</t>
  </si>
  <si>
    <t>A young man holding a skateboard while wearing head phones.</t>
  </si>
  <si>
    <t>A man standing next to a cart filled with bananas.</t>
  </si>
  <si>
    <t>This is a toy microwave and toy foods.</t>
  </si>
  <si>
    <t>http://images.cocodataset.org/val2014/COCO_val2014_000000488069.jpg</t>
  </si>
  <si>
    <t>http://images.cocodataset.org/val2014/COCO_val2014_000000524245.jpg</t>
  </si>
  <si>
    <t>http://images.cocodataset.org/val2014/COCO_val2014_000000222548.jpg</t>
  </si>
  <si>
    <t>http://images.cocodataset.org/val2014/COCO_val2014_000000043555.jpg</t>
  </si>
  <si>
    <t>http://images.cocodataset.org/val2014/COCO_val2014_000000573565.jpg</t>
  </si>
  <si>
    <t>http://images.cocodataset.org/val2014/COCO_val2014_000000361172.jpg</t>
  </si>
  <si>
    <t>http://images.cocodataset.org/val2014/COCO_val2014_000000221693.jpg</t>
  </si>
  <si>
    <t>http://images.cocodataset.org/val2014/COCO_val2014_000000290798.jpg</t>
  </si>
  <si>
    <t>http://images.cocodataset.org/val2014/COCO_val2014_000000391029.jpg</t>
  </si>
  <si>
    <t>http://images.cocodataset.org/val2014/COCO_val2014_000000393928.jpg</t>
  </si>
  <si>
    <t>http://images.cocodataset.org/val2014/COCO_val2014_000000025846.jpg</t>
  </si>
  <si>
    <t>http://images.cocodataset.org/val2014/COCO_val2014_000000386193.jpg</t>
  </si>
  <si>
    <t>http://images.cocodataset.org/val2014/COCO_val2014_000000372494.jpg</t>
  </si>
  <si>
    <t>http://images.cocodataset.org/val2014/COCO_val2014_000000093068.jpg</t>
  </si>
  <si>
    <t>http://images.cocodataset.org/val2014/COCO_val2014_000000356236.jpg</t>
  </si>
  <si>
    <t xml:space="preserve"> </t>
  </si>
  <si>
    <t>A cow walking in front of a red car</t>
  </si>
  <si>
    <t>A decorated truck is parked at a curb near a building.</t>
  </si>
  <si>
    <t>A truck with graffiti on the side of it</t>
  </si>
  <si>
    <t>Mom gives her daughter a lesson in using her baseball glove.</t>
  </si>
  <si>
    <t>A group of young people playing a game of baseball</t>
  </si>
  <si>
    <t>An electric tower in front of buildings on the road.</t>
  </si>
  <si>
    <t>A train that is sitting on the side of a road</t>
  </si>
  <si>
    <t>A  girl in a purple shirt holding a backpack.</t>
  </si>
  <si>
    <t>A girl smiles while holding a baseball glove.</t>
  </si>
  <si>
    <t>A close up of a house phone showing only the numbers in focus.</t>
  </si>
  <si>
    <t>A remote control sitting on top of a keyboard</t>
  </si>
  <si>
    <t>A blue umbrella sitting in the ground next to a fence</t>
  </si>
  <si>
    <t>A fire hydrant with a blue jacket on top of it.</t>
  </si>
  <si>
    <t>A bathroom with a sink and a mirror.</t>
  </si>
  <si>
    <t>A public bathroom with a white sink and sign regarding dirty hands.</t>
  </si>
  <si>
    <t>A trio of dogs sitting in their owner's lap in a red convertible.</t>
  </si>
  <si>
    <t>A woman and her dog in the back of a car</t>
  </si>
  <si>
    <t>Naan bread, soup, and a drink are served on a cafeteria tray.</t>
  </si>
  <si>
    <t>A plate with a sandwich and a cup of soup</t>
  </si>
  <si>
    <t>Cows walking down a street near a tour bus. </t>
  </si>
  <si>
    <t>http://images.cocodataset.org/val2014/COCO_val2014_000000416385.jpg</t>
  </si>
  <si>
    <t>http://images.cocodataset.org/val2014/COCO_val2014_000000521052.jpg</t>
  </si>
  <si>
    <t>http://images.cocodataset.org/val2014/COCO_val2014_000000185240.jpg</t>
  </si>
  <si>
    <t>http://images.cocodataset.org/val2014/COCO_val2014_000000006789.jpg</t>
  </si>
  <si>
    <t>http://images.cocodataset.org/val2014/COCO_val2014_000000162415.jpg</t>
  </si>
  <si>
    <t>http://images.cocodataset.org/val2014/COCO_val2014_000000570242.jpg</t>
  </si>
  <si>
    <t>http://images.cocodataset.org/val2014/COCO_val2014_000000005437.jpg</t>
  </si>
  <si>
    <t>http://images.cocodataset.org/val2014/COCO_val2014_000000188733.jpg</t>
  </si>
  <si>
    <t>http://images.cocodataset.org/val2014/COCO_val2014_000000407286.jpg</t>
  </si>
  <si>
    <t>http://images.cocodataset.org/val2014/COCO_val2014_000000085481.jpg</t>
  </si>
  <si>
    <t>R1</t>
  </si>
  <si>
    <t>R2</t>
  </si>
  <si>
    <t>R3</t>
  </si>
  <si>
    <t>R4</t>
  </si>
  <si>
    <t>R5</t>
  </si>
  <si>
    <t>R6</t>
  </si>
  <si>
    <t>R7</t>
  </si>
  <si>
    <t>R8</t>
  </si>
  <si>
    <t>m</t>
  </si>
  <si>
    <t>Majority_Vote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</si>
</sst>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  <family val="2"/>
    </font>
    <font>
      <sz val="12"/>
      <color theme="1"/>
      <name val="Aptos Narrow"/>
      <family val="2"/>
      <scheme val="minor"/>
    </font>
    <font>
      <sz val="10"/>
      <color rgb="FF32363A"/>
      <name val="Arial"/>
      <family val="2"/>
    </font>
    <font>
      <sz val="10"/>
      <color theme="1"/>
      <name val="Arial"/>
      <family val="2"/>
    </font>
    <font>
      <sz val="8"/>
      <color rgb="FFFFFF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2" borderId="0" xfId="0" applyFill="1"/>
    <xf numFmtId="0" fontId="0" fillId="0" borderId="1" xfId="0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4" fillId="3" borderId="0" xfId="0" applyFont="1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00B0-F235-4E67-9553-F71FD08F60BB}">
  <dimension ref="A1:D11"/>
  <sheetViews>
    <sheetView workbookViewId="0">
      <selection activeCell="C43" sqref="C43"/>
    </sheetView>
  </sheetViews>
  <sheetFormatPr defaultRowHeight="14.4" x14ac:dyDescent="0.3"/>
  <cols>
    <col min="3" max="3" width="61" customWidth="1"/>
  </cols>
  <sheetData>
    <row r="1" spans="1:4" x14ac:dyDescent="0.3">
      <c r="A1" t="s">
        <v>0</v>
      </c>
      <c r="B1" t="s">
        <v>49</v>
      </c>
      <c r="C1" t="s">
        <v>50</v>
      </c>
      <c r="D1" t="s">
        <v>1</v>
      </c>
    </row>
    <row r="2" spans="1:4" x14ac:dyDescent="0.3">
      <c r="A2" t="s">
        <v>7</v>
      </c>
      <c r="B2" t="s">
        <v>51</v>
      </c>
      <c r="C2" t="s">
        <v>52</v>
      </c>
      <c r="D2">
        <v>2.4</v>
      </c>
    </row>
    <row r="3" spans="1:4" x14ac:dyDescent="0.3">
      <c r="A3" t="s">
        <v>8</v>
      </c>
      <c r="B3" t="s">
        <v>53</v>
      </c>
      <c r="C3" t="s">
        <v>54</v>
      </c>
      <c r="D3">
        <v>1.6</v>
      </c>
    </row>
    <row r="4" spans="1:4" x14ac:dyDescent="0.3">
      <c r="A4" t="s">
        <v>9</v>
      </c>
      <c r="B4" t="s">
        <v>63</v>
      </c>
      <c r="C4" s="14" t="s">
        <v>55</v>
      </c>
      <c r="D4">
        <v>2</v>
      </c>
    </row>
    <row r="5" spans="1:4" x14ac:dyDescent="0.3">
      <c r="A5" t="s">
        <v>10</v>
      </c>
      <c r="B5" t="s">
        <v>64</v>
      </c>
      <c r="C5" s="14" t="s">
        <v>56</v>
      </c>
      <c r="D5">
        <v>5</v>
      </c>
    </row>
    <row r="6" spans="1:4" x14ac:dyDescent="0.3">
      <c r="A6" t="s">
        <v>11</v>
      </c>
      <c r="B6" t="s">
        <v>65</v>
      </c>
      <c r="C6" s="14" t="s">
        <v>57</v>
      </c>
      <c r="D6">
        <v>3</v>
      </c>
    </row>
    <row r="7" spans="1:4" x14ac:dyDescent="0.3">
      <c r="A7" t="s">
        <v>12</v>
      </c>
      <c r="B7" t="s">
        <v>66</v>
      </c>
      <c r="C7" s="14" t="s">
        <v>58</v>
      </c>
      <c r="D7">
        <v>2.75</v>
      </c>
    </row>
    <row r="8" spans="1:4" x14ac:dyDescent="0.3">
      <c r="A8" t="s">
        <v>13</v>
      </c>
      <c r="B8" t="s">
        <v>67</v>
      </c>
      <c r="C8" s="14" t="s">
        <v>59</v>
      </c>
      <c r="D8">
        <v>2.5</v>
      </c>
    </row>
    <row r="9" spans="1:4" x14ac:dyDescent="0.3">
      <c r="A9" t="s">
        <v>14</v>
      </c>
      <c r="B9" t="s">
        <v>68</v>
      </c>
      <c r="C9" s="14" t="s">
        <v>60</v>
      </c>
      <c r="D9">
        <v>2.75</v>
      </c>
    </row>
    <row r="10" spans="1:4" x14ac:dyDescent="0.3">
      <c r="A10" t="s">
        <v>15</v>
      </c>
      <c r="B10" t="s">
        <v>69</v>
      </c>
      <c r="C10" s="14" t="s">
        <v>61</v>
      </c>
      <c r="D10">
        <v>1</v>
      </c>
    </row>
    <row r="11" spans="1:4" ht="15.6" x14ac:dyDescent="0.3">
      <c r="A11" t="s">
        <v>16</v>
      </c>
      <c r="B11" s="13" t="s">
        <v>70</v>
      </c>
      <c r="C11" s="14" t="s">
        <v>62</v>
      </c>
      <c r="D11">
        <v>4.5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4EAA-E546-42B0-A1F8-01FEFD3E7EF4}">
  <dimension ref="A1:G24"/>
  <sheetViews>
    <sheetView workbookViewId="0">
      <selection activeCell="G47" sqref="G47"/>
    </sheetView>
  </sheetViews>
  <sheetFormatPr defaultRowHeight="14.4" x14ac:dyDescent="0.3"/>
  <sheetData>
    <row r="1" spans="1:4" x14ac:dyDescent="0.3">
      <c r="A1" t="s">
        <v>18</v>
      </c>
      <c r="B1" t="s">
        <v>49</v>
      </c>
      <c r="C1" t="s">
        <v>50</v>
      </c>
      <c r="D1" t="s">
        <v>1</v>
      </c>
    </row>
    <row r="2" spans="1:4" x14ac:dyDescent="0.3">
      <c r="A2" s="17" t="s">
        <v>7</v>
      </c>
      <c r="B2" t="s">
        <v>73</v>
      </c>
      <c r="C2" s="14" t="s">
        <v>71</v>
      </c>
      <c r="D2">
        <v>1.5</v>
      </c>
    </row>
    <row r="3" spans="1:4" x14ac:dyDescent="0.3">
      <c r="A3" s="17"/>
      <c r="B3" t="s">
        <v>74</v>
      </c>
      <c r="C3" s="14" t="s">
        <v>72</v>
      </c>
      <c r="D3">
        <v>3.75</v>
      </c>
    </row>
    <row r="4" spans="1:4" x14ac:dyDescent="0.3">
      <c r="A4" s="17" t="s">
        <v>8</v>
      </c>
      <c r="B4" t="s">
        <v>77</v>
      </c>
      <c r="C4" s="14" t="s">
        <v>75</v>
      </c>
      <c r="D4">
        <v>4.4000000000000004</v>
      </c>
    </row>
    <row r="5" spans="1:4" x14ac:dyDescent="0.3">
      <c r="A5" s="17"/>
      <c r="B5" t="s">
        <v>78</v>
      </c>
      <c r="C5" s="14" t="s">
        <v>76</v>
      </c>
      <c r="D5">
        <v>2.5</v>
      </c>
    </row>
    <row r="6" spans="1:4" x14ac:dyDescent="0.3">
      <c r="A6" s="17" t="s">
        <v>9</v>
      </c>
      <c r="B6" t="s">
        <v>96</v>
      </c>
      <c r="C6" s="14" t="s">
        <v>79</v>
      </c>
      <c r="D6">
        <v>4.25</v>
      </c>
    </row>
    <row r="7" spans="1:4" x14ac:dyDescent="0.3">
      <c r="A7" s="17"/>
      <c r="B7" t="s">
        <v>97</v>
      </c>
      <c r="C7" s="14" t="s">
        <v>80</v>
      </c>
      <c r="D7">
        <v>1</v>
      </c>
    </row>
    <row r="8" spans="1:4" x14ac:dyDescent="0.3">
      <c r="A8" s="17" t="s">
        <v>10</v>
      </c>
      <c r="B8" t="s">
        <v>98</v>
      </c>
      <c r="C8" s="14" t="s">
        <v>81</v>
      </c>
      <c r="D8">
        <v>5</v>
      </c>
    </row>
    <row r="9" spans="1:4" x14ac:dyDescent="0.3">
      <c r="A9" s="17"/>
      <c r="B9" t="s">
        <v>82</v>
      </c>
      <c r="C9" s="15" t="s">
        <v>83</v>
      </c>
      <c r="D9">
        <v>1</v>
      </c>
    </row>
    <row r="10" spans="1:4" x14ac:dyDescent="0.3">
      <c r="A10" s="17" t="s">
        <v>11</v>
      </c>
      <c r="B10" t="s">
        <v>99</v>
      </c>
      <c r="C10" s="14" t="s">
        <v>84</v>
      </c>
      <c r="D10">
        <v>2</v>
      </c>
    </row>
    <row r="11" spans="1:4" x14ac:dyDescent="0.3">
      <c r="A11" s="17"/>
      <c r="B11" t="s">
        <v>100</v>
      </c>
      <c r="C11" s="14" t="s">
        <v>85</v>
      </c>
      <c r="D11">
        <v>4.5999999999999996</v>
      </c>
    </row>
    <row r="12" spans="1:4" x14ac:dyDescent="0.3">
      <c r="A12" s="17" t="s">
        <v>12</v>
      </c>
      <c r="B12" t="s">
        <v>101</v>
      </c>
      <c r="C12" s="14" t="s">
        <v>86</v>
      </c>
      <c r="D12">
        <v>1</v>
      </c>
    </row>
    <row r="13" spans="1:4" x14ac:dyDescent="0.3">
      <c r="A13" s="17"/>
      <c r="B13" t="s">
        <v>102</v>
      </c>
      <c r="C13" s="14" t="s">
        <v>87</v>
      </c>
      <c r="D13">
        <v>3</v>
      </c>
    </row>
    <row r="14" spans="1:4" x14ac:dyDescent="0.3">
      <c r="A14" s="17" t="s">
        <v>13</v>
      </c>
      <c r="B14" t="s">
        <v>103</v>
      </c>
      <c r="C14" s="14" t="s">
        <v>88</v>
      </c>
      <c r="D14">
        <v>3</v>
      </c>
    </row>
    <row r="15" spans="1:4" x14ac:dyDescent="0.3">
      <c r="A15" s="17"/>
      <c r="B15" t="s">
        <v>104</v>
      </c>
      <c r="C15" s="14" t="s">
        <v>89</v>
      </c>
      <c r="D15">
        <v>1</v>
      </c>
    </row>
    <row r="16" spans="1:4" x14ac:dyDescent="0.3">
      <c r="A16" s="17" t="s">
        <v>14</v>
      </c>
      <c r="B16" t="s">
        <v>105</v>
      </c>
      <c r="C16" s="14" t="s">
        <v>90</v>
      </c>
      <c r="D16">
        <v>5</v>
      </c>
    </row>
    <row r="17" spans="1:7" x14ac:dyDescent="0.3">
      <c r="A17" s="17"/>
      <c r="B17" t="s">
        <v>106</v>
      </c>
      <c r="C17" s="14" t="s">
        <v>91</v>
      </c>
      <c r="D17">
        <v>2.75</v>
      </c>
    </row>
    <row r="18" spans="1:7" x14ac:dyDescent="0.3">
      <c r="A18" s="17" t="s">
        <v>15</v>
      </c>
      <c r="B18" t="s">
        <v>107</v>
      </c>
      <c r="C18" s="14" t="s">
        <v>92</v>
      </c>
      <c r="D18">
        <v>4.5999999999999996</v>
      </c>
    </row>
    <row r="19" spans="1:7" x14ac:dyDescent="0.3">
      <c r="A19" s="17"/>
      <c r="B19" t="s">
        <v>108</v>
      </c>
      <c r="C19" s="14" t="s">
        <v>93</v>
      </c>
      <c r="D19">
        <v>2.25</v>
      </c>
    </row>
    <row r="20" spans="1:7" x14ac:dyDescent="0.3">
      <c r="A20" s="17" t="s">
        <v>16</v>
      </c>
      <c r="B20" t="s">
        <v>109</v>
      </c>
      <c r="C20" s="14" t="s">
        <v>94</v>
      </c>
      <c r="D20">
        <v>4.5</v>
      </c>
    </row>
    <row r="21" spans="1:7" x14ac:dyDescent="0.3">
      <c r="A21" s="17"/>
      <c r="B21" t="s">
        <v>110</v>
      </c>
      <c r="C21" s="14" t="s">
        <v>95</v>
      </c>
      <c r="D21">
        <v>1.4</v>
      </c>
    </row>
    <row r="24" spans="1:7" x14ac:dyDescent="0.3">
      <c r="G24" t="s">
        <v>111</v>
      </c>
    </row>
  </sheetData>
  <mergeCells count="10">
    <mergeCell ref="A12:A13"/>
    <mergeCell ref="A14:A15"/>
    <mergeCell ref="A16:A17"/>
    <mergeCell ref="A18:A19"/>
    <mergeCell ref="A20:A21"/>
    <mergeCell ref="A2:A3"/>
    <mergeCell ref="A4:A5"/>
    <mergeCell ref="A6:A7"/>
    <mergeCell ref="A8:A9"/>
    <mergeCell ref="A10:A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5F46E-8018-4704-8A9F-DCA230CB137B}">
  <dimension ref="A1:D21"/>
  <sheetViews>
    <sheetView workbookViewId="0">
      <selection activeCell="G45" sqref="G45"/>
    </sheetView>
  </sheetViews>
  <sheetFormatPr defaultRowHeight="14.4" x14ac:dyDescent="0.3"/>
  <sheetData>
    <row r="1" spans="1:4" x14ac:dyDescent="0.3">
      <c r="A1" t="s">
        <v>18</v>
      </c>
      <c r="B1" t="s">
        <v>49</v>
      </c>
      <c r="C1" t="s">
        <v>50</v>
      </c>
      <c r="D1" t="s">
        <v>1</v>
      </c>
    </row>
    <row r="2" spans="1:4" x14ac:dyDescent="0.3">
      <c r="A2" s="17" t="s">
        <v>7</v>
      </c>
      <c r="B2" s="17" t="s">
        <v>132</v>
      </c>
      <c r="C2" s="14" t="s">
        <v>131</v>
      </c>
      <c r="D2">
        <v>4.74</v>
      </c>
    </row>
    <row r="3" spans="1:4" x14ac:dyDescent="0.3">
      <c r="A3" s="17"/>
      <c r="B3" s="17"/>
      <c r="C3" s="14" t="s">
        <v>112</v>
      </c>
      <c r="D3">
        <v>3.4</v>
      </c>
    </row>
    <row r="4" spans="1:4" x14ac:dyDescent="0.3">
      <c r="A4" s="17" t="s">
        <v>8</v>
      </c>
      <c r="B4" s="17" t="s">
        <v>133</v>
      </c>
      <c r="C4" s="14" t="s">
        <v>113</v>
      </c>
      <c r="D4">
        <v>5</v>
      </c>
    </row>
    <row r="5" spans="1:4" x14ac:dyDescent="0.3">
      <c r="A5" s="17"/>
      <c r="B5" s="17"/>
      <c r="C5" s="14" t="s">
        <v>114</v>
      </c>
      <c r="D5">
        <v>4.4000000000000004</v>
      </c>
    </row>
    <row r="6" spans="1:4" x14ac:dyDescent="0.3">
      <c r="A6" s="17" t="s">
        <v>9</v>
      </c>
      <c r="B6" s="17" t="s">
        <v>134</v>
      </c>
      <c r="C6" s="14" t="s">
        <v>115</v>
      </c>
      <c r="D6">
        <v>4.75</v>
      </c>
    </row>
    <row r="7" spans="1:4" x14ac:dyDescent="0.3">
      <c r="A7" s="17"/>
      <c r="B7" s="17"/>
      <c r="C7" s="14" t="s">
        <v>116</v>
      </c>
      <c r="D7">
        <v>3.25</v>
      </c>
    </row>
    <row r="8" spans="1:4" x14ac:dyDescent="0.3">
      <c r="A8" s="17" t="s">
        <v>10</v>
      </c>
      <c r="B8" s="17" t="s">
        <v>135</v>
      </c>
      <c r="C8" s="14" t="s">
        <v>117</v>
      </c>
      <c r="D8">
        <v>3.8</v>
      </c>
    </row>
    <row r="9" spans="1:4" x14ac:dyDescent="0.3">
      <c r="A9" s="17"/>
      <c r="B9" s="17"/>
      <c r="C9" s="14" t="s">
        <v>118</v>
      </c>
      <c r="D9">
        <v>3.4</v>
      </c>
    </row>
    <row r="10" spans="1:4" x14ac:dyDescent="0.3">
      <c r="A10" s="17" t="s">
        <v>11</v>
      </c>
      <c r="B10" s="17" t="s">
        <v>136</v>
      </c>
      <c r="C10" s="14" t="s">
        <v>119</v>
      </c>
      <c r="D10">
        <v>3.4</v>
      </c>
    </row>
    <row r="11" spans="1:4" x14ac:dyDescent="0.3">
      <c r="A11" s="17"/>
      <c r="B11" s="17"/>
      <c r="C11" s="14" t="s">
        <v>120</v>
      </c>
      <c r="D11">
        <v>4.25</v>
      </c>
    </row>
    <row r="12" spans="1:4" x14ac:dyDescent="0.3">
      <c r="A12" s="17" t="s">
        <v>12</v>
      </c>
      <c r="B12" s="17" t="s">
        <v>137</v>
      </c>
      <c r="C12" s="14" t="s">
        <v>121</v>
      </c>
      <c r="D12">
        <v>4.75</v>
      </c>
    </row>
    <row r="13" spans="1:4" x14ac:dyDescent="0.3">
      <c r="A13" s="17"/>
      <c r="B13" s="17"/>
      <c r="C13" s="14" t="s">
        <v>122</v>
      </c>
      <c r="D13">
        <v>2.5</v>
      </c>
    </row>
    <row r="14" spans="1:4" x14ac:dyDescent="0.3">
      <c r="A14" s="17" t="s">
        <v>13</v>
      </c>
      <c r="B14" s="17" t="s">
        <v>138</v>
      </c>
      <c r="C14" s="14" t="s">
        <v>123</v>
      </c>
      <c r="D14">
        <v>2.8</v>
      </c>
    </row>
    <row r="15" spans="1:4" x14ac:dyDescent="0.3">
      <c r="A15" s="17"/>
      <c r="B15" s="17"/>
      <c r="C15" s="14" t="s">
        <v>124</v>
      </c>
      <c r="D15">
        <v>4.2</v>
      </c>
    </row>
    <row r="16" spans="1:4" x14ac:dyDescent="0.3">
      <c r="A16" s="17" t="s">
        <v>14</v>
      </c>
      <c r="B16" s="17" t="s">
        <v>139</v>
      </c>
      <c r="C16" s="14" t="s">
        <v>125</v>
      </c>
      <c r="D16">
        <v>3</v>
      </c>
    </row>
    <row r="17" spans="1:4" x14ac:dyDescent="0.3">
      <c r="A17" s="17"/>
      <c r="B17" s="17"/>
      <c r="C17" s="14" t="s">
        <v>126</v>
      </c>
      <c r="D17">
        <v>4.5</v>
      </c>
    </row>
    <row r="18" spans="1:4" x14ac:dyDescent="0.3">
      <c r="A18" s="17" t="s">
        <v>15</v>
      </c>
      <c r="B18" s="17" t="s">
        <v>140</v>
      </c>
      <c r="C18" s="14" t="s">
        <v>127</v>
      </c>
      <c r="D18">
        <v>5</v>
      </c>
    </row>
    <row r="19" spans="1:4" x14ac:dyDescent="0.3">
      <c r="A19" s="17"/>
      <c r="B19" s="17"/>
      <c r="C19" s="14" t="s">
        <v>128</v>
      </c>
      <c r="D19">
        <v>3.75</v>
      </c>
    </row>
    <row r="20" spans="1:4" x14ac:dyDescent="0.3">
      <c r="A20" s="17" t="s">
        <v>16</v>
      </c>
      <c r="B20" s="17" t="s">
        <v>141</v>
      </c>
      <c r="C20" s="14" t="s">
        <v>129</v>
      </c>
      <c r="D20">
        <v>4.8</v>
      </c>
    </row>
    <row r="21" spans="1:4" x14ac:dyDescent="0.3">
      <c r="A21" s="17"/>
      <c r="B21" s="17"/>
      <c r="C21" s="14" t="s">
        <v>130</v>
      </c>
      <c r="D21">
        <v>4.25</v>
      </c>
    </row>
  </sheetData>
  <mergeCells count="20">
    <mergeCell ref="B14:B15"/>
    <mergeCell ref="B16:B17"/>
    <mergeCell ref="B18:B19"/>
    <mergeCell ref="B20:B21"/>
    <mergeCell ref="A14:A15"/>
    <mergeCell ref="A16:A17"/>
    <mergeCell ref="A18:A19"/>
    <mergeCell ref="A20:A21"/>
    <mergeCell ref="B12:B13"/>
    <mergeCell ref="A2:A3"/>
    <mergeCell ref="A4:A5"/>
    <mergeCell ref="A6:A7"/>
    <mergeCell ref="A8:A9"/>
    <mergeCell ref="A10:A11"/>
    <mergeCell ref="A12:A13"/>
    <mergeCell ref="B2:B3"/>
    <mergeCell ref="B4:B5"/>
    <mergeCell ref="B6:B7"/>
    <mergeCell ref="B8:B9"/>
    <mergeCell ref="B10:B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E4A2F-5696-4BC6-80B6-FD2C6A94C8FD}">
  <dimension ref="A1:T16"/>
  <sheetViews>
    <sheetView workbookViewId="0">
      <selection activeCell="T12" sqref="T12"/>
    </sheetView>
  </sheetViews>
  <sheetFormatPr defaultRowHeight="14.4" x14ac:dyDescent="0.3"/>
  <cols>
    <col min="2" max="2" width="15.44140625" customWidth="1"/>
    <col min="19" max="19" width="11.6640625" customWidth="1"/>
  </cols>
  <sheetData>
    <row r="1" spans="1:20" ht="30" x14ac:dyDescent="0.3">
      <c r="A1" t="s">
        <v>0</v>
      </c>
      <c r="B1" t="s">
        <v>1</v>
      </c>
      <c r="C1" t="s">
        <v>2</v>
      </c>
      <c r="D1" t="s">
        <v>3</v>
      </c>
      <c r="E1" t="s">
        <v>44</v>
      </c>
      <c r="F1" t="s">
        <v>45</v>
      </c>
      <c r="G1" t="s">
        <v>4</v>
      </c>
      <c r="H1" t="s">
        <v>5</v>
      </c>
      <c r="I1" t="s">
        <v>6</v>
      </c>
      <c r="J1" t="s">
        <v>46</v>
      </c>
      <c r="K1" t="s">
        <v>17</v>
      </c>
      <c r="L1" t="s">
        <v>24</v>
      </c>
      <c r="M1" t="s">
        <v>34</v>
      </c>
      <c r="N1" t="s">
        <v>25</v>
      </c>
      <c r="O1" t="s">
        <v>28</v>
      </c>
      <c r="P1" s="4" t="s">
        <v>29</v>
      </c>
      <c r="Q1" s="4" t="s">
        <v>30</v>
      </c>
    </row>
    <row r="2" spans="1:20" x14ac:dyDescent="0.3">
      <c r="A2" t="s">
        <v>7</v>
      </c>
      <c r="B2">
        <v>2.4</v>
      </c>
      <c r="C2">
        <v>3</v>
      </c>
      <c r="D2">
        <v>3</v>
      </c>
      <c r="E2">
        <v>4</v>
      </c>
      <c r="F2">
        <v>1</v>
      </c>
      <c r="G2">
        <v>2</v>
      </c>
      <c r="H2">
        <v>2</v>
      </c>
      <c r="I2">
        <v>1</v>
      </c>
      <c r="J2">
        <v>1</v>
      </c>
      <c r="K2">
        <f>AVERAGE(C2:J2)</f>
        <v>2.125</v>
      </c>
      <c r="L2" t="str">
        <f>IF(MAX(C2:J2)=MIN(C2:J2),"All Same","Different")</f>
        <v>Different</v>
      </c>
      <c r="M2" t="str" cm="1">
        <f t="array" ref="M2">IF(MAX(COUNTIF($C2:$J2,$C2:$J2))&gt;=5,"Majority Same","Different")</f>
        <v>Different</v>
      </c>
      <c r="N2">
        <f>_xlfn.STDEV.S(C2:J2)</f>
        <v>1.1259916264596033</v>
      </c>
      <c r="O2">
        <f>ABS(B2 - K2)</f>
        <v>0.27499999999999991</v>
      </c>
      <c r="P2" s="1">
        <f>_xlfn.RANK.AVG(B2,$B$2:$B$11,0)</f>
        <v>7</v>
      </c>
      <c r="Q2" s="1">
        <f>_xlfn.RANK.AVG(K2,$K$2:$K$11,0)</f>
        <v>5</v>
      </c>
    </row>
    <row r="3" spans="1:20" x14ac:dyDescent="0.3">
      <c r="A3" t="s">
        <v>8</v>
      </c>
      <c r="B3">
        <v>1.6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f t="shared" ref="K3:K11" si="0">AVERAGE(C3:J3)</f>
        <v>1</v>
      </c>
      <c r="L3" t="str">
        <f t="shared" ref="L3:L11" si="1">IF(MAX(C3:J3)=MIN(C3:J3),"All Same","Different")</f>
        <v>All Same</v>
      </c>
      <c r="M3" t="str" cm="1">
        <f t="array" ref="M3">IF(MAX(COUNTIF($C3:$J3,$C3:$J3))&gt;=5,"Majority Same","Different")</f>
        <v>Majority Same</v>
      </c>
      <c r="N3">
        <f t="shared" ref="N3:N11" si="2">_xlfn.STDEV.S(C3:J3)</f>
        <v>0</v>
      </c>
      <c r="O3">
        <f t="shared" ref="O3:O11" si="3">ABS(B3 - K3)</f>
        <v>0.60000000000000009</v>
      </c>
      <c r="P3" s="1">
        <f t="shared" ref="P3:P11" si="4">_xlfn.RANK.AVG(B3,$B$2:$B$11,0)</f>
        <v>9</v>
      </c>
      <c r="Q3" s="1">
        <f t="shared" ref="Q3:Q11" si="5">_xlfn.RANK.AVG(K3,$K$2:$K$11,0)</f>
        <v>9.5</v>
      </c>
    </row>
    <row r="4" spans="1:20" x14ac:dyDescent="0.3">
      <c r="A4" t="s">
        <v>9</v>
      </c>
      <c r="B4">
        <v>2</v>
      </c>
      <c r="C4" s="1">
        <v>2</v>
      </c>
      <c r="D4">
        <v>2</v>
      </c>
      <c r="E4">
        <v>1</v>
      </c>
      <c r="F4">
        <v>5</v>
      </c>
      <c r="G4">
        <v>1</v>
      </c>
      <c r="H4">
        <v>2</v>
      </c>
      <c r="I4">
        <v>1</v>
      </c>
      <c r="J4">
        <v>1</v>
      </c>
      <c r="K4">
        <f t="shared" si="0"/>
        <v>1.875</v>
      </c>
      <c r="L4" t="str">
        <f t="shared" si="1"/>
        <v>Different</v>
      </c>
      <c r="M4" t="str" cm="1">
        <f t="array" ref="M4">IF(MAX(COUNTIF($C4:$J4,$C4:$J4))&gt;=5,"Majority Same","Different")</f>
        <v>Different</v>
      </c>
      <c r="N4">
        <f t="shared" si="2"/>
        <v>1.3562026818605375</v>
      </c>
      <c r="O4">
        <f t="shared" si="3"/>
        <v>0.125</v>
      </c>
      <c r="P4" s="1">
        <f t="shared" si="4"/>
        <v>8</v>
      </c>
      <c r="Q4" s="1">
        <f t="shared" si="5"/>
        <v>7</v>
      </c>
    </row>
    <row r="5" spans="1:20" x14ac:dyDescent="0.3">
      <c r="A5" t="s">
        <v>10</v>
      </c>
      <c r="B5">
        <v>5</v>
      </c>
      <c r="C5" s="1">
        <v>5</v>
      </c>
      <c r="D5">
        <v>5</v>
      </c>
      <c r="E5">
        <v>3</v>
      </c>
      <c r="F5">
        <v>5</v>
      </c>
      <c r="G5">
        <v>5</v>
      </c>
      <c r="H5">
        <v>4</v>
      </c>
      <c r="I5">
        <v>2</v>
      </c>
      <c r="J5">
        <v>5</v>
      </c>
      <c r="K5">
        <f t="shared" si="0"/>
        <v>4.25</v>
      </c>
      <c r="L5" t="str">
        <f t="shared" si="1"/>
        <v>Different</v>
      </c>
      <c r="M5" t="str" cm="1">
        <f t="array" ref="M5">IF(MAX(COUNTIF($C5:$J5,$C5:$J5))&gt;=5,"Majority Same","Different")</f>
        <v>Majority Same</v>
      </c>
      <c r="N5">
        <f t="shared" si="2"/>
        <v>1.1649647450214351</v>
      </c>
      <c r="O5">
        <f t="shared" si="3"/>
        <v>0.75</v>
      </c>
      <c r="P5" s="1">
        <f t="shared" si="4"/>
        <v>1</v>
      </c>
      <c r="Q5" s="1">
        <f t="shared" si="5"/>
        <v>2</v>
      </c>
    </row>
    <row r="6" spans="1:20" x14ac:dyDescent="0.3">
      <c r="A6" t="s">
        <v>11</v>
      </c>
      <c r="B6">
        <v>3</v>
      </c>
      <c r="C6" s="1">
        <v>3</v>
      </c>
      <c r="D6">
        <v>3</v>
      </c>
      <c r="E6">
        <v>2</v>
      </c>
      <c r="F6">
        <v>2</v>
      </c>
      <c r="G6">
        <v>2</v>
      </c>
      <c r="H6">
        <v>3</v>
      </c>
      <c r="I6">
        <v>3</v>
      </c>
      <c r="J6">
        <v>1</v>
      </c>
      <c r="K6">
        <f t="shared" si="0"/>
        <v>2.375</v>
      </c>
      <c r="L6" t="str">
        <f t="shared" si="1"/>
        <v>Different</v>
      </c>
      <c r="M6" t="str" cm="1">
        <f t="array" ref="M6">IF(MAX(COUNTIF($C6:$J6,$C6:$J6))&gt;=5,"Majority Same","Different")</f>
        <v>Different</v>
      </c>
      <c r="N6">
        <f t="shared" si="2"/>
        <v>0.74402380914284494</v>
      </c>
      <c r="O6">
        <f t="shared" si="3"/>
        <v>0.625</v>
      </c>
      <c r="P6" s="1">
        <f t="shared" si="4"/>
        <v>3</v>
      </c>
      <c r="Q6" s="1">
        <f t="shared" si="5"/>
        <v>3.5</v>
      </c>
    </row>
    <row r="7" spans="1:20" x14ac:dyDescent="0.3">
      <c r="A7" t="s">
        <v>12</v>
      </c>
      <c r="B7">
        <v>2.75</v>
      </c>
      <c r="C7" s="1">
        <v>2</v>
      </c>
      <c r="D7">
        <v>1</v>
      </c>
      <c r="E7">
        <v>2</v>
      </c>
      <c r="F7">
        <v>1</v>
      </c>
      <c r="G7">
        <v>1</v>
      </c>
      <c r="H7">
        <v>2</v>
      </c>
      <c r="I7">
        <v>5</v>
      </c>
      <c r="J7">
        <v>5</v>
      </c>
      <c r="K7">
        <f t="shared" si="0"/>
        <v>2.375</v>
      </c>
      <c r="L7" t="str">
        <f t="shared" si="1"/>
        <v>Different</v>
      </c>
      <c r="M7" t="str" cm="1">
        <f t="array" ref="M7">IF(MAX(COUNTIF($C7:$J7,$C7:$J7))&gt;=5,"Majority Same","Different")</f>
        <v>Different</v>
      </c>
      <c r="N7">
        <f t="shared" si="2"/>
        <v>1.685018016012207</v>
      </c>
      <c r="O7">
        <f t="shared" si="3"/>
        <v>0.375</v>
      </c>
      <c r="P7" s="1">
        <f t="shared" si="4"/>
        <v>4.5</v>
      </c>
      <c r="Q7" s="1">
        <f t="shared" si="5"/>
        <v>3.5</v>
      </c>
    </row>
    <row r="8" spans="1:20" x14ac:dyDescent="0.3">
      <c r="A8" t="s">
        <v>13</v>
      </c>
      <c r="B8">
        <v>2.5</v>
      </c>
      <c r="C8" s="1">
        <v>1</v>
      </c>
      <c r="D8">
        <v>1</v>
      </c>
      <c r="E8">
        <v>2</v>
      </c>
      <c r="F8">
        <v>1</v>
      </c>
      <c r="G8">
        <v>2</v>
      </c>
      <c r="H8">
        <v>1</v>
      </c>
      <c r="I8">
        <v>1</v>
      </c>
      <c r="J8">
        <v>1</v>
      </c>
      <c r="K8">
        <f t="shared" si="0"/>
        <v>1.25</v>
      </c>
      <c r="L8" t="str">
        <f t="shared" si="1"/>
        <v>Different</v>
      </c>
      <c r="M8" t="str" cm="1">
        <f t="array" ref="M8">IF(MAX(COUNTIF($C8:$J8,$C8:$J8))&gt;=5,"Majority Same","Different")</f>
        <v>Majority Same</v>
      </c>
      <c r="N8">
        <f t="shared" si="2"/>
        <v>0.46291004988627571</v>
      </c>
      <c r="O8">
        <f t="shared" si="3"/>
        <v>1.25</v>
      </c>
      <c r="P8" s="1">
        <f t="shared" si="4"/>
        <v>6</v>
      </c>
      <c r="Q8" s="1">
        <f t="shared" si="5"/>
        <v>8</v>
      </c>
    </row>
    <row r="9" spans="1:20" x14ac:dyDescent="0.3">
      <c r="A9" t="s">
        <v>14</v>
      </c>
      <c r="B9">
        <v>2.75</v>
      </c>
      <c r="C9" s="1">
        <v>3</v>
      </c>
      <c r="D9">
        <v>2</v>
      </c>
      <c r="E9">
        <v>3</v>
      </c>
      <c r="F9">
        <v>3</v>
      </c>
      <c r="G9">
        <v>2</v>
      </c>
      <c r="H9">
        <v>1</v>
      </c>
      <c r="I9">
        <v>1</v>
      </c>
      <c r="J9">
        <v>1</v>
      </c>
      <c r="K9">
        <f t="shared" si="0"/>
        <v>2</v>
      </c>
      <c r="L9" t="str">
        <f t="shared" si="1"/>
        <v>Different</v>
      </c>
      <c r="M9" t="str" cm="1">
        <f t="array" ref="M9">IF(MAX(COUNTIF($C9:$J9,$C9:$J9))&gt;=5,"Majority Same","Different")</f>
        <v>Different</v>
      </c>
      <c r="N9">
        <f t="shared" si="2"/>
        <v>0.92582009977255142</v>
      </c>
      <c r="O9">
        <f t="shared" si="3"/>
        <v>0.75</v>
      </c>
      <c r="P9" s="1">
        <f t="shared" si="4"/>
        <v>4.5</v>
      </c>
      <c r="Q9" s="1">
        <f t="shared" si="5"/>
        <v>6</v>
      </c>
    </row>
    <row r="10" spans="1:20" ht="15" thickBot="1" x14ac:dyDescent="0.35">
      <c r="A10" t="s">
        <v>15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f t="shared" si="0"/>
        <v>1</v>
      </c>
      <c r="L10" t="str">
        <f t="shared" si="1"/>
        <v>All Same</v>
      </c>
      <c r="M10" t="str" cm="1">
        <f t="array" ref="M10">IF(MAX(COUNTIF($C10:$J10,$C10:$J10))&gt;=5,"Majority Same","Different")</f>
        <v>Majority Same</v>
      </c>
      <c r="N10">
        <f t="shared" si="2"/>
        <v>0</v>
      </c>
      <c r="O10">
        <f t="shared" si="3"/>
        <v>0</v>
      </c>
      <c r="P10" s="1">
        <f t="shared" si="4"/>
        <v>10</v>
      </c>
      <c r="Q10" s="1">
        <f t="shared" si="5"/>
        <v>9.5</v>
      </c>
    </row>
    <row r="11" spans="1:20" x14ac:dyDescent="0.3">
      <c r="A11" t="s">
        <v>16</v>
      </c>
      <c r="B11">
        <v>4.5</v>
      </c>
      <c r="C11" s="1">
        <v>5</v>
      </c>
      <c r="D11" s="1">
        <v>5</v>
      </c>
      <c r="E11" s="1">
        <v>5</v>
      </c>
      <c r="F11" s="1">
        <v>5</v>
      </c>
      <c r="G11" s="1">
        <v>5</v>
      </c>
      <c r="H11" s="1">
        <v>5</v>
      </c>
      <c r="I11" s="1">
        <v>5</v>
      </c>
      <c r="J11" s="1">
        <v>5</v>
      </c>
      <c r="K11">
        <f t="shared" si="0"/>
        <v>5</v>
      </c>
      <c r="L11" t="str">
        <f t="shared" si="1"/>
        <v>All Same</v>
      </c>
      <c r="M11" t="str" cm="1">
        <f t="array" ref="M11">IF(MAX(COUNTIF($C11:$J11,$C11:$J11))&gt;=5,"Majority Same","Different")</f>
        <v>Majority Same</v>
      </c>
      <c r="N11">
        <f t="shared" si="2"/>
        <v>0</v>
      </c>
      <c r="O11">
        <f t="shared" si="3"/>
        <v>0.5</v>
      </c>
      <c r="P11" s="1">
        <f t="shared" si="4"/>
        <v>2</v>
      </c>
      <c r="Q11" s="1">
        <f t="shared" si="5"/>
        <v>1</v>
      </c>
      <c r="R11" s="7" t="s">
        <v>33</v>
      </c>
      <c r="S11" s="8" t="s">
        <v>31</v>
      </c>
      <c r="T11" s="9" t="s">
        <v>32</v>
      </c>
    </row>
    <row r="12" spans="1:20" ht="15" thickBot="1" x14ac:dyDescent="0.35">
      <c r="L12">
        <f>COUNTIF(L2:L11,"All Same")/COUNTA(A2:A11)</f>
        <v>0.3</v>
      </c>
      <c r="M12">
        <f>COUNTIF($M$2:$M$11,"Majority Same")/COUNTA($A$2:$A$11)</f>
        <v>0.5</v>
      </c>
      <c r="N12">
        <f>AVERAGE(N2:N11)</f>
        <v>0.74649310281554548</v>
      </c>
      <c r="R12" s="10">
        <f>COUNTIF(L2:L11,"All Same")/COUNTA(A2:A11)</f>
        <v>0.3</v>
      </c>
      <c r="S12" s="11">
        <f>CORREL(P2:P11,Q2:Q11)</f>
        <v>0.90826112777287393</v>
      </c>
      <c r="T12" s="12">
        <f>CORREL(B2:B11,K2:K11)</f>
        <v>0.93120323286029272</v>
      </c>
    </row>
    <row r="16" spans="1:20" x14ac:dyDescent="0.3">
      <c r="I16" s="6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4C4C8-047F-442C-86A8-624F63CB5AEB}">
  <dimension ref="A1:J9"/>
  <sheetViews>
    <sheetView workbookViewId="0">
      <selection activeCell="L8" sqref="L8"/>
    </sheetView>
  </sheetViews>
  <sheetFormatPr defaultRowHeight="14.4" x14ac:dyDescent="0.3"/>
  <cols>
    <col min="8" max="9" width="10.44140625" customWidth="1"/>
    <col min="10" max="10" width="14.44140625" customWidth="1"/>
  </cols>
  <sheetData>
    <row r="1" spans="1:10" ht="43.2" x14ac:dyDescent="0.3">
      <c r="A1" t="s">
        <v>47</v>
      </c>
      <c r="B1" s="1" t="s">
        <v>2</v>
      </c>
      <c r="C1" s="1" t="s">
        <v>3</v>
      </c>
      <c r="D1" s="1" t="s">
        <v>44</v>
      </c>
      <c r="E1" s="1" t="s">
        <v>45</v>
      </c>
      <c r="F1" s="1" t="s">
        <v>4</v>
      </c>
      <c r="G1" s="1" t="s">
        <v>5</v>
      </c>
      <c r="H1" s="1" t="s">
        <v>6</v>
      </c>
      <c r="I1" s="1" t="s">
        <v>46</v>
      </c>
      <c r="J1" s="1" t="s">
        <v>26</v>
      </c>
    </row>
    <row r="2" spans="1:10" x14ac:dyDescent="0.3">
      <c r="A2" s="1" t="s">
        <v>2</v>
      </c>
      <c r="B2">
        <v>1</v>
      </c>
      <c r="C2">
        <v>0.96367000000000003</v>
      </c>
      <c r="D2">
        <v>0.79820800000000003</v>
      </c>
      <c r="E2">
        <v>0.72161799999999998</v>
      </c>
      <c r="F2">
        <v>0.89560399999999996</v>
      </c>
      <c r="G2">
        <v>0.88662099999999999</v>
      </c>
      <c r="H2">
        <v>0.46144400000000002</v>
      </c>
      <c r="I2">
        <v>0.64168899999999995</v>
      </c>
      <c r="J2" s="18">
        <f>AVERAGE(C2:H2, D3:H3, E4:H4, F5:H5, G6:H6, H7)</f>
        <v>0.66876109523809535</v>
      </c>
    </row>
    <row r="3" spans="1:10" x14ac:dyDescent="0.3">
      <c r="A3" s="1" t="s">
        <v>3</v>
      </c>
      <c r="B3">
        <v>0.96367000000000003</v>
      </c>
      <c r="C3">
        <v>1</v>
      </c>
      <c r="D3">
        <v>0.751305</v>
      </c>
      <c r="E3">
        <v>0.726908</v>
      </c>
      <c r="F3">
        <v>0.91833399999999998</v>
      </c>
      <c r="G3">
        <v>0.91662399999999999</v>
      </c>
      <c r="H3">
        <v>0.364145</v>
      </c>
      <c r="I3">
        <v>0.55405099999999996</v>
      </c>
      <c r="J3" s="18"/>
    </row>
    <row r="4" spans="1:10" x14ac:dyDescent="0.3">
      <c r="A4" s="1" t="s">
        <v>44</v>
      </c>
      <c r="B4">
        <v>0.79820800000000003</v>
      </c>
      <c r="C4">
        <v>0.751305</v>
      </c>
      <c r="D4">
        <v>1</v>
      </c>
      <c r="E4">
        <v>0.35769899999999999</v>
      </c>
      <c r="F4">
        <v>0.75446599999999997</v>
      </c>
      <c r="G4">
        <v>0.65923399999999999</v>
      </c>
      <c r="H4">
        <v>0.42557600000000001</v>
      </c>
      <c r="I4">
        <v>0.47711900000000002</v>
      </c>
      <c r="J4" s="18"/>
    </row>
    <row r="5" spans="1:10" x14ac:dyDescent="0.3">
      <c r="A5" s="1" t="s">
        <v>45</v>
      </c>
      <c r="B5">
        <v>0.72161799999999998</v>
      </c>
      <c r="C5">
        <v>0.726908</v>
      </c>
      <c r="D5">
        <v>0.35769899999999999</v>
      </c>
      <c r="E5">
        <v>1</v>
      </c>
      <c r="F5">
        <v>0.66232599999999997</v>
      </c>
      <c r="G5">
        <v>0.69057999999999997</v>
      </c>
      <c r="H5">
        <v>0.19957800000000001</v>
      </c>
      <c r="I5">
        <v>0.43732900000000002</v>
      </c>
      <c r="J5" s="18"/>
    </row>
    <row r="6" spans="1:10" x14ac:dyDescent="0.3">
      <c r="A6" s="1" t="s">
        <v>4</v>
      </c>
      <c r="B6">
        <v>0.89560399999999996</v>
      </c>
      <c r="C6">
        <v>0.91833399999999998</v>
      </c>
      <c r="D6">
        <v>0.75446599999999997</v>
      </c>
      <c r="E6">
        <v>0.66232599999999997</v>
      </c>
      <c r="F6">
        <v>1</v>
      </c>
      <c r="G6">
        <v>0.851383</v>
      </c>
      <c r="H6">
        <v>0.37945099999999998</v>
      </c>
      <c r="I6">
        <v>0.65330500000000002</v>
      </c>
      <c r="J6" s="18"/>
    </row>
    <row r="7" spans="1:10" x14ac:dyDescent="0.3">
      <c r="A7" s="1" t="s">
        <v>5</v>
      </c>
      <c r="B7">
        <v>0.88662099999999999</v>
      </c>
      <c r="C7">
        <v>0.91662399999999999</v>
      </c>
      <c r="D7">
        <v>0.65923399999999999</v>
      </c>
      <c r="E7">
        <v>0.69057999999999997</v>
      </c>
      <c r="F7">
        <v>0.851383</v>
      </c>
      <c r="G7">
        <v>1</v>
      </c>
      <c r="H7">
        <v>0.65920900000000004</v>
      </c>
      <c r="I7">
        <v>0.72374700000000003</v>
      </c>
      <c r="J7" s="18"/>
    </row>
    <row r="8" spans="1:10" x14ac:dyDescent="0.3">
      <c r="A8" s="1" t="s">
        <v>6</v>
      </c>
      <c r="B8">
        <v>0.46144400000000002</v>
      </c>
      <c r="C8">
        <v>0.364145</v>
      </c>
      <c r="D8">
        <v>0.42557600000000001</v>
      </c>
      <c r="E8">
        <v>0.19957800000000001</v>
      </c>
      <c r="F8">
        <v>0.37945099999999998</v>
      </c>
      <c r="G8">
        <v>0.65920900000000004</v>
      </c>
      <c r="H8">
        <v>1</v>
      </c>
      <c r="I8">
        <v>0.78825299999999998</v>
      </c>
      <c r="J8" s="18"/>
    </row>
    <row r="9" spans="1:10" x14ac:dyDescent="0.3">
      <c r="A9" s="1" t="s">
        <v>46</v>
      </c>
      <c r="B9">
        <v>0.64168899999999995</v>
      </c>
      <c r="C9">
        <v>0.55405099999999996</v>
      </c>
      <c r="D9">
        <v>0.47711900000000002</v>
      </c>
      <c r="E9">
        <v>0.43732900000000002</v>
      </c>
      <c r="F9">
        <v>0.65330500000000002</v>
      </c>
      <c r="G9">
        <v>0.72374700000000003</v>
      </c>
      <c r="H9">
        <v>0.78825299999999998</v>
      </c>
      <c r="I9">
        <v>1</v>
      </c>
      <c r="J9" s="18"/>
    </row>
  </sheetData>
  <mergeCells count="1">
    <mergeCell ref="J2:J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D1F2B-6FE7-4BC8-BEB8-F8F3A1656A9D}">
  <dimension ref="A1:J9"/>
  <sheetViews>
    <sheetView workbookViewId="0">
      <selection activeCell="C2" sqref="C2"/>
    </sheetView>
  </sheetViews>
  <sheetFormatPr defaultRowHeight="14.4" x14ac:dyDescent="0.3"/>
  <cols>
    <col min="10" max="10" width="20.33203125" customWidth="1"/>
  </cols>
  <sheetData>
    <row r="1" spans="1:10" ht="28.8" x14ac:dyDescent="0.3">
      <c r="A1" s="2" t="s">
        <v>47</v>
      </c>
      <c r="B1" s="2" t="s">
        <v>2</v>
      </c>
      <c r="C1" s="2" t="s">
        <v>3</v>
      </c>
      <c r="D1" s="2" t="s">
        <v>44</v>
      </c>
      <c r="E1" s="2" t="s">
        <v>45</v>
      </c>
      <c r="F1" s="2" t="s">
        <v>4</v>
      </c>
      <c r="G1" s="2" t="s">
        <v>5</v>
      </c>
      <c r="H1" s="2" t="s">
        <v>6</v>
      </c>
      <c r="I1" s="2" t="s">
        <v>46</v>
      </c>
      <c r="J1" s="2" t="s">
        <v>27</v>
      </c>
    </row>
    <row r="2" spans="1:10" ht="15" x14ac:dyDescent="0.3">
      <c r="A2" s="3" t="s">
        <v>2</v>
      </c>
      <c r="B2" s="1">
        <v>1</v>
      </c>
      <c r="C2">
        <v>0.94467100000000004</v>
      </c>
      <c r="D2">
        <v>0.81994</v>
      </c>
      <c r="E2">
        <v>0.71025400000000005</v>
      </c>
      <c r="F2" s="4">
        <v>0.80321900000000002</v>
      </c>
      <c r="G2" s="4">
        <v>0.81706299999999998</v>
      </c>
      <c r="H2" s="4">
        <v>0.54807600000000001</v>
      </c>
      <c r="I2" s="4">
        <v>0.54870300000000005</v>
      </c>
      <c r="J2" s="19">
        <f>AVERAGE(
    C2:I2,
    D3:I3,
    E4:I4,
    F5:I5,
    G6:I6,
    H7:I7,
    I8:I8)</f>
        <v>0.61322189285714279</v>
      </c>
    </row>
    <row r="3" spans="1:10" ht="15" x14ac:dyDescent="0.3">
      <c r="A3" s="3" t="s">
        <v>3</v>
      </c>
      <c r="B3" s="4">
        <v>0.94467100000000004</v>
      </c>
      <c r="C3" s="1">
        <v>1</v>
      </c>
      <c r="D3" s="1">
        <v>0.72733400000000004</v>
      </c>
      <c r="E3" s="1">
        <v>0.73772099999999996</v>
      </c>
      <c r="F3" s="4">
        <v>0.81110700000000002</v>
      </c>
      <c r="G3" s="4">
        <v>0.83828800000000003</v>
      </c>
      <c r="H3" s="4">
        <v>0.41420099999999999</v>
      </c>
      <c r="I3" s="4">
        <v>0.39578000000000002</v>
      </c>
      <c r="J3" s="19"/>
    </row>
    <row r="4" spans="1:10" ht="15" x14ac:dyDescent="0.3">
      <c r="A4" s="3" t="s">
        <v>44</v>
      </c>
      <c r="B4" s="4">
        <v>0.81994</v>
      </c>
      <c r="C4" s="4">
        <v>0.72733400000000004</v>
      </c>
      <c r="D4" s="4">
        <v>1</v>
      </c>
      <c r="E4" s="4">
        <v>0.33038800000000001</v>
      </c>
      <c r="F4" s="1">
        <v>0.84734500000000001</v>
      </c>
      <c r="G4" s="4">
        <v>0.550562</v>
      </c>
      <c r="H4" s="4">
        <v>0.40533200000000003</v>
      </c>
      <c r="I4" s="4">
        <v>0.46880699999999997</v>
      </c>
      <c r="J4" s="19"/>
    </row>
    <row r="5" spans="1:10" ht="15" x14ac:dyDescent="0.3">
      <c r="A5" s="3" t="s">
        <v>45</v>
      </c>
      <c r="B5" s="4">
        <v>0.71025400000000005</v>
      </c>
      <c r="C5" s="4">
        <v>0.73772099999999996</v>
      </c>
      <c r="D5" s="4">
        <v>0.33038800000000001</v>
      </c>
      <c r="E5" s="4">
        <v>1</v>
      </c>
      <c r="F5" s="4">
        <v>0.51932699999999998</v>
      </c>
      <c r="G5" s="1">
        <v>0.63736000000000004</v>
      </c>
      <c r="H5" s="4">
        <v>0.304004</v>
      </c>
      <c r="I5" s="4">
        <v>0.36983500000000002</v>
      </c>
      <c r="J5" s="19"/>
    </row>
    <row r="6" spans="1:10" ht="15" x14ac:dyDescent="0.3">
      <c r="A6" s="3" t="s">
        <v>4</v>
      </c>
      <c r="B6" s="4">
        <v>0.80321900000000002</v>
      </c>
      <c r="C6" s="4">
        <v>0.81110700000000002</v>
      </c>
      <c r="D6" s="4">
        <v>0.84734500000000001</v>
      </c>
      <c r="E6" s="4">
        <v>0.51932699999999998</v>
      </c>
      <c r="F6" s="4">
        <v>1</v>
      </c>
      <c r="G6" s="4">
        <v>0.59677800000000003</v>
      </c>
      <c r="H6" s="1">
        <v>0.35951699999999998</v>
      </c>
      <c r="I6" s="1">
        <v>0.40662500000000001</v>
      </c>
      <c r="J6" s="19"/>
    </row>
    <row r="7" spans="1:10" x14ac:dyDescent="0.3">
      <c r="A7" s="3" t="s">
        <v>5</v>
      </c>
      <c r="B7">
        <v>0.81706299999999998</v>
      </c>
      <c r="C7">
        <v>0.83828800000000003</v>
      </c>
      <c r="D7">
        <v>0.550562</v>
      </c>
      <c r="E7">
        <v>0.63736000000000004</v>
      </c>
      <c r="F7">
        <v>0.59677800000000003</v>
      </c>
      <c r="G7">
        <v>1</v>
      </c>
      <c r="H7">
        <v>0.766656</v>
      </c>
      <c r="I7">
        <v>0.67505000000000004</v>
      </c>
    </row>
    <row r="8" spans="1:10" x14ac:dyDescent="0.3">
      <c r="A8" s="3" t="s">
        <v>6</v>
      </c>
      <c r="B8">
        <v>0.54807600000000001</v>
      </c>
      <c r="C8">
        <v>0.41420099999999999</v>
      </c>
      <c r="D8">
        <v>0.40533200000000003</v>
      </c>
      <c r="E8">
        <v>0.304004</v>
      </c>
      <c r="F8">
        <v>0.35951699999999998</v>
      </c>
      <c r="G8">
        <v>0.766656</v>
      </c>
      <c r="H8">
        <v>1</v>
      </c>
      <c r="I8">
        <v>0.81627000000000005</v>
      </c>
    </row>
    <row r="9" spans="1:10" x14ac:dyDescent="0.3">
      <c r="A9" s="3" t="s">
        <v>46</v>
      </c>
      <c r="B9">
        <v>0.54870300000000005</v>
      </c>
      <c r="C9">
        <v>0.39578000000000002</v>
      </c>
      <c r="D9">
        <v>0.46880699999999997</v>
      </c>
      <c r="E9">
        <v>0.36983500000000002</v>
      </c>
      <c r="F9">
        <v>0.40662500000000001</v>
      </c>
      <c r="G9">
        <v>0.67505000000000004</v>
      </c>
      <c r="H9">
        <v>0.81627000000000005</v>
      </c>
      <c r="I9">
        <v>1</v>
      </c>
    </row>
  </sheetData>
  <mergeCells count="1">
    <mergeCell ref="J2:J6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C0E63-D9F8-4606-9CC9-8F89AD470AD7}">
  <dimension ref="A1:Q43"/>
  <sheetViews>
    <sheetView workbookViewId="0">
      <selection activeCell="P1" sqref="P1"/>
    </sheetView>
  </sheetViews>
  <sheetFormatPr defaultRowHeight="14.4" x14ac:dyDescent="0.3"/>
  <cols>
    <col min="1" max="1" width="11.88671875" customWidth="1"/>
    <col min="2" max="2" width="19" customWidth="1"/>
    <col min="3" max="3" width="21.109375" customWidth="1"/>
    <col min="10" max="11" width="19.33203125" customWidth="1"/>
    <col min="16" max="16" width="14.21875" customWidth="1"/>
  </cols>
  <sheetData>
    <row r="1" spans="1:17" x14ac:dyDescent="0.3">
      <c r="A1" t="s">
        <v>18</v>
      </c>
      <c r="B1" t="s">
        <v>19</v>
      </c>
      <c r="C1" t="s">
        <v>20</v>
      </c>
      <c r="D1" t="s">
        <v>142</v>
      </c>
      <c r="E1" t="s">
        <v>143</v>
      </c>
      <c r="F1" t="s">
        <v>144</v>
      </c>
      <c r="G1" t="s">
        <v>145</v>
      </c>
      <c r="H1" t="s">
        <v>146</v>
      </c>
      <c r="I1" t="s">
        <v>147</v>
      </c>
      <c r="J1" t="s">
        <v>148</v>
      </c>
      <c r="K1" t="s">
        <v>149</v>
      </c>
      <c r="L1" t="s">
        <v>36</v>
      </c>
      <c r="M1" t="s">
        <v>37</v>
      </c>
      <c r="N1" t="s">
        <v>38</v>
      </c>
      <c r="O1" t="s">
        <v>48</v>
      </c>
      <c r="P1" t="s">
        <v>151</v>
      </c>
      <c r="Q1" s="16" t="s">
        <v>150</v>
      </c>
    </row>
    <row r="2" spans="1:17" x14ac:dyDescent="0.3">
      <c r="A2" t="s">
        <v>7</v>
      </c>
      <c r="B2">
        <v>1.5</v>
      </c>
      <c r="C2">
        <v>3.75</v>
      </c>
      <c r="D2" t="s">
        <v>22</v>
      </c>
      <c r="E2" t="s">
        <v>22</v>
      </c>
      <c r="F2" t="s">
        <v>21</v>
      </c>
      <c r="G2" t="s">
        <v>22</v>
      </c>
      <c r="H2" t="s">
        <v>22</v>
      </c>
      <c r="I2" t="s">
        <v>22</v>
      </c>
      <c r="J2" t="s">
        <v>22</v>
      </c>
      <c r="K2" t="s">
        <v>22</v>
      </c>
      <c r="L2">
        <f>COUNTIF($D2:$K2,"A")</f>
        <v>1</v>
      </c>
      <c r="M2">
        <f>COUNTIF($D2:$K2,"B")</f>
        <v>7</v>
      </c>
      <c r="N2">
        <f>(L2*(L2-1) + M2*(M2-1)) / (COUNTA($D2:$K2) * (COUNTA($D2:$K2) - 1))</f>
        <v>0.75</v>
      </c>
      <c r="O2" t="str">
        <f t="shared" ref="O2:O11" si="0">IF(B2&gt;C2,"A","B")</f>
        <v>B</v>
      </c>
      <c r="P2">
        <v>-1</v>
      </c>
    </row>
    <row r="3" spans="1:17" x14ac:dyDescent="0.3">
      <c r="A3" t="s">
        <v>8</v>
      </c>
      <c r="B3">
        <v>4.4000000000000004</v>
      </c>
      <c r="C3">
        <v>2.5</v>
      </c>
      <c r="D3" t="s">
        <v>21</v>
      </c>
      <c r="E3" t="s">
        <v>21</v>
      </c>
      <c r="F3" t="s">
        <v>21</v>
      </c>
      <c r="G3" t="s">
        <v>21</v>
      </c>
      <c r="H3" t="s">
        <v>21</v>
      </c>
      <c r="I3" t="s">
        <v>21</v>
      </c>
      <c r="J3" t="s">
        <v>21</v>
      </c>
      <c r="K3" t="s">
        <v>21</v>
      </c>
      <c r="L3">
        <f t="shared" ref="L3:L11" si="1">COUNTIF($D3:$K3,"A")</f>
        <v>8</v>
      </c>
      <c r="M3">
        <f t="shared" ref="M3:M11" si="2">COUNTIF($D3:$K3,"B")</f>
        <v>0</v>
      </c>
      <c r="N3">
        <f t="shared" ref="N3:N11" si="3">(L3*(L3-1) + M3*(M3-1)) / (COUNTA($D3:$K3) * (COUNTA($D3:$K3) - 1))</f>
        <v>1</v>
      </c>
      <c r="O3" t="str">
        <f t="shared" si="0"/>
        <v>A</v>
      </c>
      <c r="P3">
        <v>1</v>
      </c>
    </row>
    <row r="4" spans="1:17" x14ac:dyDescent="0.3">
      <c r="A4" t="s">
        <v>9</v>
      </c>
      <c r="B4">
        <v>4.25</v>
      </c>
      <c r="C4">
        <v>1</v>
      </c>
      <c r="D4" t="s">
        <v>21</v>
      </c>
      <c r="E4" t="s">
        <v>21</v>
      </c>
      <c r="F4" t="s">
        <v>21</v>
      </c>
      <c r="G4" t="s">
        <v>21</v>
      </c>
      <c r="H4" t="s">
        <v>21</v>
      </c>
      <c r="I4" t="s">
        <v>21</v>
      </c>
      <c r="J4" t="s">
        <v>21</v>
      </c>
      <c r="K4" t="s">
        <v>21</v>
      </c>
      <c r="L4">
        <f t="shared" si="1"/>
        <v>8</v>
      </c>
      <c r="M4">
        <f t="shared" si="2"/>
        <v>0</v>
      </c>
      <c r="N4">
        <f t="shared" si="3"/>
        <v>1</v>
      </c>
      <c r="O4" t="str">
        <f t="shared" si="0"/>
        <v>A</v>
      </c>
      <c r="P4">
        <v>1</v>
      </c>
    </row>
    <row r="5" spans="1:17" x14ac:dyDescent="0.3">
      <c r="A5" t="s">
        <v>10</v>
      </c>
      <c r="B5">
        <v>5</v>
      </c>
      <c r="C5">
        <v>1</v>
      </c>
      <c r="D5" t="s">
        <v>21</v>
      </c>
      <c r="E5" t="s">
        <v>21</v>
      </c>
      <c r="F5" t="s">
        <v>21</v>
      </c>
      <c r="G5" t="s">
        <v>21</v>
      </c>
      <c r="H5" t="s">
        <v>21</v>
      </c>
      <c r="I5" t="s">
        <v>21</v>
      </c>
      <c r="J5" t="s">
        <v>21</v>
      </c>
      <c r="K5" t="s">
        <v>21</v>
      </c>
      <c r="L5">
        <f t="shared" si="1"/>
        <v>8</v>
      </c>
      <c r="M5">
        <f t="shared" si="2"/>
        <v>0</v>
      </c>
      <c r="N5">
        <f t="shared" si="3"/>
        <v>1</v>
      </c>
      <c r="O5" t="str">
        <f t="shared" si="0"/>
        <v>A</v>
      </c>
      <c r="P5">
        <v>1</v>
      </c>
    </row>
    <row r="6" spans="1:17" x14ac:dyDescent="0.3">
      <c r="A6" t="s">
        <v>11</v>
      </c>
      <c r="B6">
        <v>2</v>
      </c>
      <c r="C6">
        <v>4.5999999999999996</v>
      </c>
      <c r="D6" t="s">
        <v>22</v>
      </c>
      <c r="E6" t="s">
        <v>22</v>
      </c>
      <c r="F6" t="s">
        <v>22</v>
      </c>
      <c r="G6" t="s">
        <v>22</v>
      </c>
      <c r="H6" t="s">
        <v>22</v>
      </c>
      <c r="I6" t="s">
        <v>22</v>
      </c>
      <c r="J6" t="s">
        <v>22</v>
      </c>
      <c r="K6" t="s">
        <v>22</v>
      </c>
      <c r="L6">
        <f t="shared" si="1"/>
        <v>0</v>
      </c>
      <c r="M6">
        <f t="shared" si="2"/>
        <v>8</v>
      </c>
      <c r="N6">
        <f t="shared" si="3"/>
        <v>1</v>
      </c>
      <c r="O6" t="str">
        <f t="shared" si="0"/>
        <v>B</v>
      </c>
      <c r="P6">
        <v>-1</v>
      </c>
    </row>
    <row r="7" spans="1:17" x14ac:dyDescent="0.3">
      <c r="A7" t="s">
        <v>12</v>
      </c>
      <c r="B7">
        <v>1</v>
      </c>
      <c r="C7">
        <v>3</v>
      </c>
      <c r="D7" t="s">
        <v>22</v>
      </c>
      <c r="E7" t="s">
        <v>22</v>
      </c>
      <c r="F7" t="s">
        <v>21</v>
      </c>
      <c r="G7" t="s">
        <v>22</v>
      </c>
      <c r="H7" t="s">
        <v>22</v>
      </c>
      <c r="I7" t="s">
        <v>22</v>
      </c>
      <c r="J7" t="s">
        <v>22</v>
      </c>
      <c r="K7" t="s">
        <v>22</v>
      </c>
      <c r="L7">
        <f t="shared" si="1"/>
        <v>1</v>
      </c>
      <c r="M7">
        <f t="shared" si="2"/>
        <v>7</v>
      </c>
      <c r="N7">
        <f t="shared" si="3"/>
        <v>0.75</v>
      </c>
      <c r="O7" t="str">
        <f t="shared" si="0"/>
        <v>B</v>
      </c>
      <c r="P7">
        <v>-1</v>
      </c>
    </row>
    <row r="8" spans="1:17" x14ac:dyDescent="0.3">
      <c r="A8" t="s">
        <v>13</v>
      </c>
      <c r="B8">
        <v>3</v>
      </c>
      <c r="C8">
        <v>1</v>
      </c>
      <c r="D8" t="s">
        <v>21</v>
      </c>
      <c r="E8" t="s">
        <v>21</v>
      </c>
      <c r="F8" t="s">
        <v>21</v>
      </c>
      <c r="G8" t="s">
        <v>21</v>
      </c>
      <c r="H8" t="s">
        <v>21</v>
      </c>
      <c r="I8" t="s">
        <v>21</v>
      </c>
      <c r="J8" t="s">
        <v>21</v>
      </c>
      <c r="K8" t="s">
        <v>21</v>
      </c>
      <c r="L8">
        <f t="shared" si="1"/>
        <v>8</v>
      </c>
      <c r="M8">
        <f t="shared" si="2"/>
        <v>0</v>
      </c>
      <c r="N8">
        <f t="shared" si="3"/>
        <v>1</v>
      </c>
      <c r="O8" t="str">
        <f t="shared" si="0"/>
        <v>A</v>
      </c>
      <c r="P8">
        <v>1</v>
      </c>
    </row>
    <row r="9" spans="1:17" x14ac:dyDescent="0.3">
      <c r="A9" t="s">
        <v>14</v>
      </c>
      <c r="B9">
        <v>5</v>
      </c>
      <c r="C9">
        <v>2.75</v>
      </c>
      <c r="D9" t="s">
        <v>21</v>
      </c>
      <c r="E9" t="s">
        <v>21</v>
      </c>
      <c r="F9" t="s">
        <v>21</v>
      </c>
      <c r="G9" t="s">
        <v>21</v>
      </c>
      <c r="H9" t="s">
        <v>21</v>
      </c>
      <c r="I9" t="s">
        <v>21</v>
      </c>
      <c r="J9" t="s">
        <v>21</v>
      </c>
      <c r="K9" t="s">
        <v>21</v>
      </c>
      <c r="L9">
        <f t="shared" si="1"/>
        <v>8</v>
      </c>
      <c r="M9">
        <f t="shared" si="2"/>
        <v>0</v>
      </c>
      <c r="N9">
        <f t="shared" si="3"/>
        <v>1</v>
      </c>
      <c r="O9" t="str">
        <f t="shared" si="0"/>
        <v>A</v>
      </c>
      <c r="P9">
        <v>1</v>
      </c>
    </row>
    <row r="10" spans="1:17" x14ac:dyDescent="0.3">
      <c r="A10" t="s">
        <v>15</v>
      </c>
      <c r="B10">
        <v>4.5999999999999996</v>
      </c>
      <c r="C10">
        <v>2.25</v>
      </c>
      <c r="D10" t="s">
        <v>21</v>
      </c>
      <c r="E10" t="s">
        <v>21</v>
      </c>
      <c r="F10" t="s">
        <v>21</v>
      </c>
      <c r="G10" t="s">
        <v>21</v>
      </c>
      <c r="H10" t="s">
        <v>21</v>
      </c>
      <c r="I10" t="s">
        <v>21</v>
      </c>
      <c r="J10" t="s">
        <v>21</v>
      </c>
      <c r="K10" t="s">
        <v>21</v>
      </c>
      <c r="L10">
        <f t="shared" si="1"/>
        <v>8</v>
      </c>
      <c r="M10">
        <f t="shared" si="2"/>
        <v>0</v>
      </c>
      <c r="N10">
        <f t="shared" si="3"/>
        <v>1</v>
      </c>
      <c r="O10" t="str">
        <f t="shared" si="0"/>
        <v>A</v>
      </c>
      <c r="P10">
        <v>1</v>
      </c>
    </row>
    <row r="11" spans="1:17" x14ac:dyDescent="0.3">
      <c r="A11" t="s">
        <v>16</v>
      </c>
      <c r="B11">
        <v>4.5</v>
      </c>
      <c r="C11">
        <v>1.4</v>
      </c>
      <c r="D11" t="s">
        <v>21</v>
      </c>
      <c r="E11" t="s">
        <v>21</v>
      </c>
      <c r="F11" t="s">
        <v>21</v>
      </c>
      <c r="G11" t="s">
        <v>21</v>
      </c>
      <c r="H11" t="s">
        <v>21</v>
      </c>
      <c r="I11" t="s">
        <v>21</v>
      </c>
      <c r="J11" t="s">
        <v>21</v>
      </c>
      <c r="K11" t="s">
        <v>21</v>
      </c>
      <c r="L11">
        <f t="shared" si="1"/>
        <v>8</v>
      </c>
      <c r="M11">
        <f t="shared" si="2"/>
        <v>0</v>
      </c>
      <c r="N11">
        <f t="shared" si="3"/>
        <v>1</v>
      </c>
      <c r="O11" t="str">
        <f t="shared" si="0"/>
        <v>A</v>
      </c>
      <c r="P11">
        <v>1</v>
      </c>
    </row>
    <row r="17" spans="2:16" x14ac:dyDescent="0.3">
      <c r="J17" s="5" t="s">
        <v>39</v>
      </c>
      <c r="K17" s="5"/>
      <c r="L17" s="5" t="s">
        <v>40</v>
      </c>
      <c r="M17" s="5" t="s">
        <v>41</v>
      </c>
      <c r="N17" s="5" t="s">
        <v>42</v>
      </c>
      <c r="O17" s="5" t="s">
        <v>43</v>
      </c>
      <c r="P17" s="5"/>
    </row>
    <row r="18" spans="2:16" x14ac:dyDescent="0.3">
      <c r="J18" s="5">
        <f>AVERAGE($N$2:$N$11)</f>
        <v>0.95</v>
      </c>
      <c r="K18" s="5"/>
      <c r="L18" s="5">
        <f>SUM(L2:L11)/SUM(L2:L11,M2:M11)</f>
        <v>0.72499999999999998</v>
      </c>
      <c r="M18" s="5">
        <f>SUM(M2:M11)/SUM(L2:L11,M2:M11)</f>
        <v>0.27500000000000002</v>
      </c>
      <c r="N18" s="5">
        <f>(L18^2 + M18^2)</f>
        <v>0.60125000000000006</v>
      </c>
      <c r="O18" s="5">
        <f>(J18 - N18)/(1 - N18)</f>
        <v>0.87460815047021934</v>
      </c>
      <c r="P18" s="5"/>
    </row>
    <row r="24" spans="2:16" x14ac:dyDescent="0.3">
      <c r="B24" s="17"/>
      <c r="D24" s="14"/>
    </row>
    <row r="25" spans="2:16" x14ac:dyDescent="0.3">
      <c r="B25" s="17"/>
      <c r="D25" s="14"/>
    </row>
    <row r="26" spans="2:16" x14ac:dyDescent="0.3">
      <c r="B26" s="17"/>
      <c r="D26" s="14"/>
    </row>
    <row r="27" spans="2:16" x14ac:dyDescent="0.3">
      <c r="B27" s="17"/>
      <c r="D27" s="14"/>
    </row>
    <row r="28" spans="2:16" x14ac:dyDescent="0.3">
      <c r="B28" s="17"/>
      <c r="D28" s="14"/>
    </row>
    <row r="29" spans="2:16" x14ac:dyDescent="0.3">
      <c r="B29" s="17"/>
      <c r="D29" s="14"/>
    </row>
    <row r="30" spans="2:16" x14ac:dyDescent="0.3">
      <c r="B30" s="17"/>
      <c r="D30" s="14"/>
    </row>
    <row r="31" spans="2:16" x14ac:dyDescent="0.3">
      <c r="B31" s="17"/>
      <c r="D31" s="15"/>
    </row>
    <row r="32" spans="2:16" x14ac:dyDescent="0.3">
      <c r="B32" s="17"/>
      <c r="D32" s="14"/>
    </row>
    <row r="33" spans="2:4" x14ac:dyDescent="0.3">
      <c r="B33" s="17"/>
      <c r="D33" s="14"/>
    </row>
    <row r="34" spans="2:4" x14ac:dyDescent="0.3">
      <c r="B34" s="17"/>
      <c r="D34" s="14"/>
    </row>
    <row r="35" spans="2:4" x14ac:dyDescent="0.3">
      <c r="B35" s="17"/>
      <c r="D35" s="14"/>
    </row>
    <row r="36" spans="2:4" x14ac:dyDescent="0.3">
      <c r="B36" s="17"/>
      <c r="D36" s="14"/>
    </row>
    <row r="37" spans="2:4" x14ac:dyDescent="0.3">
      <c r="B37" s="17"/>
      <c r="D37" s="14"/>
    </row>
    <row r="38" spans="2:4" x14ac:dyDescent="0.3">
      <c r="B38" s="17"/>
      <c r="D38" s="14"/>
    </row>
    <row r="39" spans="2:4" x14ac:dyDescent="0.3">
      <c r="B39" s="17"/>
      <c r="D39" s="14"/>
    </row>
    <row r="40" spans="2:4" x14ac:dyDescent="0.3">
      <c r="B40" s="17"/>
      <c r="D40" s="14"/>
    </row>
    <row r="41" spans="2:4" x14ac:dyDescent="0.3">
      <c r="B41" s="17"/>
      <c r="D41" s="14"/>
    </row>
    <row r="42" spans="2:4" x14ac:dyDescent="0.3">
      <c r="B42" s="17"/>
      <c r="D42" s="14"/>
    </row>
    <row r="43" spans="2:4" x14ac:dyDescent="0.3">
      <c r="B43" s="17"/>
      <c r="D43" s="14"/>
    </row>
  </sheetData>
  <mergeCells count="10">
    <mergeCell ref="B36:B37"/>
    <mergeCell ref="B38:B39"/>
    <mergeCell ref="B40:B41"/>
    <mergeCell ref="B42:B43"/>
    <mergeCell ref="B24:B25"/>
    <mergeCell ref="B26:B27"/>
    <mergeCell ref="B28:B29"/>
    <mergeCell ref="B30:B31"/>
    <mergeCell ref="B32:B33"/>
    <mergeCell ref="B34:B35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7234D-7E4C-441D-9FFB-8E4230BDAB6A}">
  <dimension ref="A1:P44"/>
  <sheetViews>
    <sheetView tabSelected="1" workbookViewId="0">
      <selection activeCell="H38" sqref="H38"/>
    </sheetView>
  </sheetViews>
  <sheetFormatPr defaultRowHeight="14.4" x14ac:dyDescent="0.3"/>
  <cols>
    <col min="2" max="2" width="18.88671875" customWidth="1"/>
    <col min="3" max="3" width="13.6640625" customWidth="1"/>
    <col min="12" max="12" width="12.77734375" customWidth="1"/>
    <col min="13" max="13" width="13.33203125" customWidth="1"/>
    <col min="14" max="14" width="19" customWidth="1"/>
  </cols>
  <sheetData>
    <row r="1" spans="1:16" x14ac:dyDescent="0.3">
      <c r="A1" t="s">
        <v>35</v>
      </c>
      <c r="B1" t="s">
        <v>19</v>
      </c>
      <c r="C1" t="s">
        <v>23</v>
      </c>
      <c r="D1" t="s">
        <v>142</v>
      </c>
      <c r="E1" t="s">
        <v>143</v>
      </c>
      <c r="F1" t="s">
        <v>144</v>
      </c>
      <c r="G1" t="s">
        <v>145</v>
      </c>
      <c r="H1" t="s">
        <v>146</v>
      </c>
      <c r="I1" t="s">
        <v>147</v>
      </c>
      <c r="J1" t="s">
        <v>148</v>
      </c>
      <c r="K1" t="s">
        <v>149</v>
      </c>
      <c r="L1" t="s">
        <v>36</v>
      </c>
      <c r="M1" t="s">
        <v>37</v>
      </c>
      <c r="N1" t="s">
        <v>38</v>
      </c>
      <c r="O1" t="s">
        <v>48</v>
      </c>
      <c r="P1" t="s">
        <v>151</v>
      </c>
    </row>
    <row r="2" spans="1:16" x14ac:dyDescent="0.3">
      <c r="A2" t="s">
        <v>7</v>
      </c>
      <c r="B2">
        <v>4.74</v>
      </c>
      <c r="C2">
        <v>3.4</v>
      </c>
      <c r="D2" t="s">
        <v>21</v>
      </c>
      <c r="E2" t="s">
        <v>21</v>
      </c>
      <c r="F2" t="s">
        <v>21</v>
      </c>
      <c r="G2" t="s">
        <v>21</v>
      </c>
      <c r="H2" t="s">
        <v>21</v>
      </c>
      <c r="I2" t="s">
        <v>21</v>
      </c>
      <c r="J2" t="s">
        <v>21</v>
      </c>
      <c r="K2" t="s">
        <v>21</v>
      </c>
      <c r="L2">
        <f>COUNTIF($D2:$K2,"A")</f>
        <v>8</v>
      </c>
      <c r="M2">
        <f>COUNTIF($D2:$K2,"B")</f>
        <v>0</v>
      </c>
      <c r="N2">
        <f>(L2*(L2-1) + M2*(M2-1)) / (COUNTA($D2:$K2) * (COUNTA($D2:$K2) - 1))</f>
        <v>1</v>
      </c>
      <c r="O2" t="str">
        <f>IF(B2&gt;C2,"A","B")</f>
        <v>A</v>
      </c>
      <c r="P2">
        <v>1</v>
      </c>
    </row>
    <row r="3" spans="1:16" x14ac:dyDescent="0.3">
      <c r="A3" t="s">
        <v>8</v>
      </c>
      <c r="B3">
        <v>5</v>
      </c>
      <c r="C3">
        <v>4.4000000000000004</v>
      </c>
      <c r="D3" t="s">
        <v>22</v>
      </c>
      <c r="E3" t="s">
        <v>21</v>
      </c>
      <c r="F3" t="s">
        <v>21</v>
      </c>
      <c r="G3" t="s">
        <v>21</v>
      </c>
      <c r="H3" t="s">
        <v>21</v>
      </c>
      <c r="I3" t="s">
        <v>21</v>
      </c>
      <c r="J3" t="s">
        <v>21</v>
      </c>
      <c r="K3" t="s">
        <v>21</v>
      </c>
      <c r="L3">
        <f t="shared" ref="L3:L11" si="0">COUNTIF($D3:$K3,"A")</f>
        <v>7</v>
      </c>
      <c r="M3">
        <f t="shared" ref="M3:M11" si="1">COUNTIF($D3:$K3,"B")</f>
        <v>1</v>
      </c>
      <c r="N3">
        <f t="shared" ref="N3:N11" si="2">(L3*(L3-1) + M3*(M3-1)) / (COUNTA($D3:$K3) * (COUNTA($D3:$K3) - 1))</f>
        <v>0.75</v>
      </c>
      <c r="O3" t="str">
        <f t="shared" ref="O3:O11" si="3">IF(B3&gt;C3,"A","B")</f>
        <v>A</v>
      </c>
      <c r="P3">
        <v>1</v>
      </c>
    </row>
    <row r="4" spans="1:16" x14ac:dyDescent="0.3">
      <c r="A4" t="s">
        <v>9</v>
      </c>
      <c r="B4">
        <v>4.75</v>
      </c>
      <c r="C4">
        <v>3.25</v>
      </c>
      <c r="D4" t="s">
        <v>21</v>
      </c>
      <c r="E4" t="s">
        <v>21</v>
      </c>
      <c r="F4" t="s">
        <v>21</v>
      </c>
      <c r="G4" t="s">
        <v>21</v>
      </c>
      <c r="H4" t="s">
        <v>21</v>
      </c>
      <c r="I4" t="s">
        <v>21</v>
      </c>
      <c r="J4" t="s">
        <v>21</v>
      </c>
      <c r="K4" t="s">
        <v>21</v>
      </c>
      <c r="L4">
        <f t="shared" si="0"/>
        <v>8</v>
      </c>
      <c r="M4">
        <f t="shared" si="1"/>
        <v>0</v>
      </c>
      <c r="N4">
        <f t="shared" si="2"/>
        <v>1</v>
      </c>
      <c r="O4" t="str">
        <f t="shared" si="3"/>
        <v>A</v>
      </c>
      <c r="P4">
        <v>1</v>
      </c>
    </row>
    <row r="5" spans="1:16" x14ac:dyDescent="0.3">
      <c r="A5" t="s">
        <v>10</v>
      </c>
      <c r="B5">
        <v>3.8</v>
      </c>
      <c r="C5">
        <v>3.4</v>
      </c>
      <c r="D5" t="s">
        <v>21</v>
      </c>
      <c r="E5" t="s">
        <v>21</v>
      </c>
      <c r="F5" t="s">
        <v>21</v>
      </c>
      <c r="G5" t="s">
        <v>21</v>
      </c>
      <c r="H5" t="s">
        <v>22</v>
      </c>
      <c r="I5" t="s">
        <v>21</v>
      </c>
      <c r="J5" t="s">
        <v>21</v>
      </c>
      <c r="K5" t="s">
        <v>21</v>
      </c>
      <c r="L5">
        <f t="shared" si="0"/>
        <v>7</v>
      </c>
      <c r="M5">
        <f t="shared" si="1"/>
        <v>1</v>
      </c>
      <c r="N5">
        <f t="shared" si="2"/>
        <v>0.75</v>
      </c>
      <c r="O5" t="str">
        <f t="shared" si="3"/>
        <v>A</v>
      </c>
      <c r="P5">
        <v>1</v>
      </c>
    </row>
    <row r="6" spans="1:16" x14ac:dyDescent="0.3">
      <c r="A6" t="s">
        <v>11</v>
      </c>
      <c r="B6">
        <v>3.4</v>
      </c>
      <c r="C6">
        <v>4.25</v>
      </c>
      <c r="D6" t="s">
        <v>22</v>
      </c>
      <c r="E6" t="s">
        <v>22</v>
      </c>
      <c r="F6" t="s">
        <v>22</v>
      </c>
      <c r="G6" t="s">
        <v>22</v>
      </c>
      <c r="H6" t="s">
        <v>22</v>
      </c>
      <c r="I6" t="s">
        <v>22</v>
      </c>
      <c r="J6" t="s">
        <v>22</v>
      </c>
      <c r="K6" t="s">
        <v>22</v>
      </c>
      <c r="L6">
        <f t="shared" si="0"/>
        <v>0</v>
      </c>
      <c r="M6">
        <f t="shared" si="1"/>
        <v>8</v>
      </c>
      <c r="N6">
        <f t="shared" si="2"/>
        <v>1</v>
      </c>
      <c r="O6" t="str">
        <f t="shared" si="3"/>
        <v>B</v>
      </c>
      <c r="P6">
        <v>-1</v>
      </c>
    </row>
    <row r="7" spans="1:16" x14ac:dyDescent="0.3">
      <c r="A7" t="s">
        <v>12</v>
      </c>
      <c r="B7">
        <v>4.75</v>
      </c>
      <c r="C7">
        <v>2.5</v>
      </c>
      <c r="D7" t="s">
        <v>21</v>
      </c>
      <c r="E7" t="s">
        <v>21</v>
      </c>
      <c r="F7" t="s">
        <v>21</v>
      </c>
      <c r="G7" t="s">
        <v>21</v>
      </c>
      <c r="H7" t="s">
        <v>21</v>
      </c>
      <c r="I7" t="s">
        <v>22</v>
      </c>
      <c r="J7" t="s">
        <v>21</v>
      </c>
      <c r="K7" t="s">
        <v>21</v>
      </c>
      <c r="L7">
        <f t="shared" si="0"/>
        <v>7</v>
      </c>
      <c r="M7">
        <f t="shared" si="1"/>
        <v>1</v>
      </c>
      <c r="N7">
        <f t="shared" si="2"/>
        <v>0.75</v>
      </c>
      <c r="O7" t="str">
        <f t="shared" si="3"/>
        <v>A</v>
      </c>
      <c r="P7">
        <v>1</v>
      </c>
    </row>
    <row r="8" spans="1:16" x14ac:dyDescent="0.3">
      <c r="A8" t="s">
        <v>13</v>
      </c>
      <c r="B8">
        <v>2.8</v>
      </c>
      <c r="C8">
        <v>4.2</v>
      </c>
      <c r="D8" t="s">
        <v>22</v>
      </c>
      <c r="E8" t="s">
        <v>22</v>
      </c>
      <c r="F8" t="s">
        <v>22</v>
      </c>
      <c r="G8" t="s">
        <v>22</v>
      </c>
      <c r="H8" t="s">
        <v>22</v>
      </c>
      <c r="I8" t="s">
        <v>22</v>
      </c>
      <c r="J8" t="s">
        <v>22</v>
      </c>
      <c r="K8" t="s">
        <v>22</v>
      </c>
      <c r="L8">
        <f t="shared" si="0"/>
        <v>0</v>
      </c>
      <c r="M8">
        <f t="shared" si="1"/>
        <v>8</v>
      </c>
      <c r="N8">
        <f t="shared" si="2"/>
        <v>1</v>
      </c>
      <c r="O8" t="str">
        <f t="shared" si="3"/>
        <v>B</v>
      </c>
      <c r="P8">
        <v>-1</v>
      </c>
    </row>
    <row r="9" spans="1:16" x14ac:dyDescent="0.3">
      <c r="A9" t="s">
        <v>14</v>
      </c>
      <c r="B9">
        <v>3</v>
      </c>
      <c r="C9">
        <v>4.5</v>
      </c>
      <c r="D9" t="s">
        <v>22</v>
      </c>
      <c r="E9" t="s">
        <v>22</v>
      </c>
      <c r="F9" t="s">
        <v>22</v>
      </c>
      <c r="G9" t="s">
        <v>21</v>
      </c>
      <c r="H9" t="s">
        <v>22</v>
      </c>
      <c r="I9" t="s">
        <v>22</v>
      </c>
      <c r="J9" t="s">
        <v>22</v>
      </c>
      <c r="K9" t="s">
        <v>22</v>
      </c>
      <c r="L9">
        <f t="shared" si="0"/>
        <v>1</v>
      </c>
      <c r="M9">
        <f t="shared" si="1"/>
        <v>7</v>
      </c>
      <c r="N9">
        <f t="shared" si="2"/>
        <v>0.75</v>
      </c>
      <c r="O9" t="str">
        <f t="shared" si="3"/>
        <v>B</v>
      </c>
      <c r="P9">
        <v>-1</v>
      </c>
    </row>
    <row r="10" spans="1:16" x14ac:dyDescent="0.3">
      <c r="A10" t="s">
        <v>15</v>
      </c>
      <c r="B10">
        <v>5</v>
      </c>
      <c r="C10">
        <v>3.75</v>
      </c>
      <c r="D10" t="s">
        <v>21</v>
      </c>
      <c r="E10" t="s">
        <v>21</v>
      </c>
      <c r="F10" t="s">
        <v>21</v>
      </c>
      <c r="G10" t="s">
        <v>21</v>
      </c>
      <c r="H10" t="s">
        <v>21</v>
      </c>
      <c r="I10" t="s">
        <v>21</v>
      </c>
      <c r="J10" t="s">
        <v>21</v>
      </c>
      <c r="K10" t="s">
        <v>21</v>
      </c>
      <c r="L10">
        <f t="shared" si="0"/>
        <v>8</v>
      </c>
      <c r="M10">
        <f t="shared" si="1"/>
        <v>0</v>
      </c>
      <c r="N10">
        <f t="shared" si="2"/>
        <v>1</v>
      </c>
      <c r="O10" t="str">
        <f t="shared" si="3"/>
        <v>A</v>
      </c>
      <c r="P10">
        <v>1</v>
      </c>
    </row>
    <row r="11" spans="1:16" x14ac:dyDescent="0.3">
      <c r="A11" t="s">
        <v>16</v>
      </c>
      <c r="B11">
        <v>4.8</v>
      </c>
      <c r="C11">
        <v>4.25</v>
      </c>
      <c r="D11" t="s">
        <v>21</v>
      </c>
      <c r="E11" t="s">
        <v>21</v>
      </c>
      <c r="F11" t="s">
        <v>21</v>
      </c>
      <c r="G11" t="s">
        <v>21</v>
      </c>
      <c r="H11" t="s">
        <v>21</v>
      </c>
      <c r="I11" t="s">
        <v>21</v>
      </c>
      <c r="J11" t="s">
        <v>21</v>
      </c>
      <c r="K11" t="s">
        <v>21</v>
      </c>
      <c r="L11">
        <f t="shared" si="0"/>
        <v>8</v>
      </c>
      <c r="M11">
        <f t="shared" si="1"/>
        <v>0</v>
      </c>
      <c r="N11">
        <f t="shared" si="2"/>
        <v>1</v>
      </c>
      <c r="O11" t="str">
        <f t="shared" si="3"/>
        <v>A</v>
      </c>
      <c r="P11">
        <v>1</v>
      </c>
    </row>
    <row r="17" spans="3:15" x14ac:dyDescent="0.3">
      <c r="H17" s="5" t="s">
        <v>39</v>
      </c>
      <c r="I17" s="5"/>
      <c r="J17" s="5"/>
      <c r="K17" s="5"/>
      <c r="L17" s="5" t="s">
        <v>40</v>
      </c>
      <c r="M17" s="5" t="s">
        <v>41</v>
      </c>
      <c r="N17" s="5" t="s">
        <v>42</v>
      </c>
      <c r="O17" s="5" t="s">
        <v>43</v>
      </c>
    </row>
    <row r="18" spans="3:15" x14ac:dyDescent="0.3">
      <c r="H18" s="5">
        <f>AVERAGE($N$2:$N$11)</f>
        <v>0.9</v>
      </c>
      <c r="I18" s="5"/>
      <c r="J18" s="5"/>
      <c r="K18" s="5"/>
      <c r="L18" s="5">
        <f>SUM(L2:L11)/SUM(L2:L11,M2:M11)</f>
        <v>0.67500000000000004</v>
      </c>
      <c r="M18" s="5">
        <f>SUM(M2:M11)/SUM(L2:L11,M2:M11)</f>
        <v>0.32500000000000001</v>
      </c>
      <c r="N18" s="5">
        <f>(L18^2 + M18^2)</f>
        <v>0.56125000000000003</v>
      </c>
      <c r="O18" s="5">
        <f>(H18 - N18)/(1 - N18)</f>
        <v>0.77207977207977208</v>
      </c>
    </row>
    <row r="25" spans="3:15" x14ac:dyDescent="0.3">
      <c r="C25" s="17"/>
      <c r="D25" s="17"/>
      <c r="E25" s="14"/>
    </row>
    <row r="26" spans="3:15" x14ac:dyDescent="0.3">
      <c r="C26" s="17"/>
      <c r="D26" s="17"/>
      <c r="E26" s="14"/>
    </row>
    <row r="27" spans="3:15" x14ac:dyDescent="0.3">
      <c r="C27" s="17"/>
      <c r="D27" s="17"/>
      <c r="E27" s="14"/>
    </row>
    <row r="28" spans="3:15" x14ac:dyDescent="0.3">
      <c r="C28" s="17"/>
      <c r="D28" s="17"/>
      <c r="E28" s="14"/>
    </row>
    <row r="29" spans="3:15" x14ac:dyDescent="0.3">
      <c r="C29" s="17"/>
      <c r="D29" s="17"/>
      <c r="E29" s="14"/>
    </row>
    <row r="30" spans="3:15" x14ac:dyDescent="0.3">
      <c r="C30" s="17"/>
      <c r="D30" s="17"/>
      <c r="E30" s="14"/>
    </row>
    <row r="31" spans="3:15" x14ac:dyDescent="0.3">
      <c r="C31" s="17"/>
      <c r="D31" s="17"/>
      <c r="E31" s="14"/>
    </row>
    <row r="32" spans="3:15" x14ac:dyDescent="0.3">
      <c r="C32" s="17"/>
      <c r="D32" s="17"/>
      <c r="E32" s="14"/>
    </row>
    <row r="33" spans="3:5" x14ac:dyDescent="0.3">
      <c r="C33" s="17"/>
      <c r="D33" s="17"/>
      <c r="E33" s="14"/>
    </row>
    <row r="34" spans="3:5" x14ac:dyDescent="0.3">
      <c r="C34" s="17"/>
      <c r="D34" s="17"/>
      <c r="E34" s="14"/>
    </row>
    <row r="35" spans="3:5" x14ac:dyDescent="0.3">
      <c r="C35" s="17"/>
      <c r="D35" s="17"/>
      <c r="E35" s="14"/>
    </row>
    <row r="36" spans="3:5" x14ac:dyDescent="0.3">
      <c r="C36" s="17"/>
      <c r="D36" s="17"/>
      <c r="E36" s="14"/>
    </row>
    <row r="37" spans="3:5" x14ac:dyDescent="0.3">
      <c r="C37" s="17"/>
      <c r="D37" s="17"/>
      <c r="E37" s="14"/>
    </row>
    <row r="38" spans="3:5" x14ac:dyDescent="0.3">
      <c r="C38" s="17"/>
      <c r="D38" s="17"/>
      <c r="E38" s="14"/>
    </row>
    <row r="39" spans="3:5" x14ac:dyDescent="0.3">
      <c r="C39" s="17"/>
      <c r="D39" s="17"/>
      <c r="E39" s="14"/>
    </row>
    <row r="40" spans="3:5" x14ac:dyDescent="0.3">
      <c r="C40" s="17"/>
      <c r="D40" s="17"/>
      <c r="E40" s="14"/>
    </row>
    <row r="41" spans="3:5" x14ac:dyDescent="0.3">
      <c r="C41" s="17"/>
      <c r="D41" s="17"/>
      <c r="E41" s="14"/>
    </row>
    <row r="42" spans="3:5" x14ac:dyDescent="0.3">
      <c r="C42" s="17"/>
      <c r="D42" s="17"/>
      <c r="E42" s="14"/>
    </row>
    <row r="43" spans="3:5" x14ac:dyDescent="0.3">
      <c r="C43" s="17"/>
      <c r="D43" s="17"/>
      <c r="E43" s="14"/>
    </row>
    <row r="44" spans="3:5" x14ac:dyDescent="0.3">
      <c r="C44" s="17"/>
      <c r="D44" s="17"/>
      <c r="E44" s="14"/>
    </row>
  </sheetData>
  <mergeCells count="20">
    <mergeCell ref="C43:C44"/>
    <mergeCell ref="D43:D44"/>
    <mergeCell ref="C37:C38"/>
    <mergeCell ref="D37:D38"/>
    <mergeCell ref="C39:C40"/>
    <mergeCell ref="D39:D40"/>
    <mergeCell ref="C41:C42"/>
    <mergeCell ref="D41:D42"/>
    <mergeCell ref="C31:C32"/>
    <mergeCell ref="D31:D32"/>
    <mergeCell ref="C33:C34"/>
    <mergeCell ref="D33:D34"/>
    <mergeCell ref="C35:C36"/>
    <mergeCell ref="D35:D36"/>
    <mergeCell ref="C25:C26"/>
    <mergeCell ref="D25:D26"/>
    <mergeCell ref="C27:C28"/>
    <mergeCell ref="D27:D28"/>
    <mergeCell ref="C29:C30"/>
    <mergeCell ref="D29:D30"/>
  </mergeCells>
  <phoneticPr fontId="1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7970E5CA65AD345BD1DA523111477C4" ma:contentTypeVersion="5" ma:contentTypeDescription="Create a new document." ma:contentTypeScope="" ma:versionID="3ced30a20be46bf2a07bef393f2adba3">
  <xsd:schema xmlns:xsd="http://www.w3.org/2001/XMLSchema" xmlns:xs="http://www.w3.org/2001/XMLSchema" xmlns:p="http://schemas.microsoft.com/office/2006/metadata/properties" xmlns:ns3="ffb1b1c5-72c4-48ac-bba8-4a4e3a1880ef" targetNamespace="http://schemas.microsoft.com/office/2006/metadata/properties" ma:root="true" ma:fieldsID="c7bc5959a980ef60ed7448647a824ff6" ns3:_="">
    <xsd:import namespace="ffb1b1c5-72c4-48ac-bba8-4a4e3a1880ef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b1b1c5-72c4-48ac-bba8-4a4e3a1880ef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fb1b1c5-72c4-48ac-bba8-4a4e3a1880ef" xsi:nil="true"/>
  </documentManagement>
</p:properties>
</file>

<file path=customXml/itemProps1.xml><?xml version="1.0" encoding="utf-8"?>
<ds:datastoreItem xmlns:ds="http://schemas.openxmlformats.org/officeDocument/2006/customXml" ds:itemID="{C0E591B7-F54A-485B-8CE9-727F9ABBF64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fb1b1c5-72c4-48ac-bba8-4a4e3a1880e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7FAB176-4C42-4DC5-9B33-BCF55F3060F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23F74F-B6DA-4C5E-B805-085C5F3AAEAF}">
  <ds:schemaRefs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schemas.microsoft.com/office/2006/metadata/properties"/>
    <ds:schemaRef ds:uri="http://purl.org/dc/dcmitype/"/>
    <ds:schemaRef ds:uri="http://purl.org/dc/elements/1.1/"/>
    <ds:schemaRef ds:uri="ffb1b1c5-72c4-48ac-bba8-4a4e3a1880ef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task1</vt:lpstr>
      <vt:lpstr>task2</vt:lpstr>
      <vt:lpstr>task3</vt:lpstr>
      <vt:lpstr>Regression - Task 1</vt:lpstr>
      <vt:lpstr>Inter-Rater (Pearson)</vt:lpstr>
      <vt:lpstr>Inter-Rater(Spearman)</vt:lpstr>
      <vt:lpstr>Comparative - Task 2</vt:lpstr>
      <vt:lpstr>Same_Image -  Task 3 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Kezia Minni Abraham Manoharan (RIT Student)</dc:creator>
  <cp:lastModifiedBy>Kezia Minni Abraham Manoharan (RIT Student)</cp:lastModifiedBy>
  <dcterms:created xsi:type="dcterms:W3CDTF">2025-11-06T17:49:16Z</dcterms:created>
  <dcterms:modified xsi:type="dcterms:W3CDTF">2026-01-07T02:50:02Z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0x010100C7970E5CA65AD345BD1DA523111477C4</vt:lpwstr>
  </property>
</Properties>
</file>